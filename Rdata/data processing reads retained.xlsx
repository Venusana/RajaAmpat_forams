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venus_vanhoof_wur_nl/Documents/master year 2/THESIS/data analysis/AVITI/trial 5 run 1/"/>
    </mc:Choice>
  </mc:AlternateContent>
  <xr:revisionPtr revIDLastSave="27" documentId="13_ncr:1_{31F2ECE7-623E-4016-B31F-3E5679FC87AA}" xr6:coauthVersionLast="47" xr6:coauthVersionMax="47" xr10:uidLastSave="{FF95C9AA-6C0F-41BC-85B7-2F7F4AF6B679}"/>
  <bookViews>
    <workbookView xWindow="-110" yWindow="-110" windowWidth="19420" windowHeight="10300" activeTab="1" xr2:uid="{07F638A9-66CC-45C4-9E0A-E5C0BFB60BE8}"/>
  </bookViews>
  <sheets>
    <sheet name="reads" sheetId="1" r:id="rId1"/>
    <sheet name="ot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</calcChain>
</file>

<file path=xl/sharedStrings.xml><?xml version="1.0" encoding="utf-8"?>
<sst xmlns="http://schemas.openxmlformats.org/spreadsheetml/2006/main" count="33" uniqueCount="26">
  <si>
    <t>reads retained</t>
  </si>
  <si>
    <t>raw_reads</t>
  </si>
  <si>
    <t>Cutadapt</t>
  </si>
  <si>
    <t>PRINSEQ</t>
  </si>
  <si>
    <t>Decontam</t>
  </si>
  <si>
    <t>0.01% cutoff</t>
  </si>
  <si>
    <t>working table</t>
  </si>
  <si>
    <t>foraminifera</t>
  </si>
  <si>
    <t>note</t>
  </si>
  <si>
    <t>all raw reads</t>
  </si>
  <si>
    <t>reads after merging forward and reverse, cutting of primers, quality control and keeping only target region</t>
  </si>
  <si>
    <t>reads that are mapped to the OTUs</t>
  </si>
  <si>
    <t>reads after contaminated reads were removed</t>
  </si>
  <si>
    <t>reads after 0.01% cutoff was applied</t>
  </si>
  <si>
    <t xml:space="preserve">reads that are only foraminifera </t>
  </si>
  <si>
    <t>Otus</t>
  </si>
  <si>
    <t>decontam</t>
  </si>
  <si>
    <t>filter low reads</t>
  </si>
  <si>
    <t>samples with reads less than 10,000 were removed</t>
  </si>
  <si>
    <t>foram_species</t>
  </si>
  <si>
    <t>reads that are foram species</t>
  </si>
  <si>
    <t>FLASH</t>
  </si>
  <si>
    <t>map to ASVs</t>
  </si>
  <si>
    <t>ASV table</t>
  </si>
  <si>
    <t>foram_family</t>
  </si>
  <si>
    <t>foram_order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</si>
</sst>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DB23-FECF-4B06-A4E6-0B977D7DD3FE}">
  <dimension ref="A1:C14"/>
  <sheetViews>
    <sheetView workbookViewId="0">
      <selection activeCell="C13" sqref="C13"/>
    </sheetView>
  </sheetViews>
  <sheetFormatPr defaultRowHeight="14.5" x14ac:dyDescent="0.35"/>
  <cols>
    <col min="1" max="1" width="11.1796875" bestFit="1" customWidth="1"/>
  </cols>
  <sheetData>
    <row r="1" spans="1:3" x14ac:dyDescent="0.35">
      <c r="B1" t="s">
        <v>0</v>
      </c>
      <c r="C1" t="s">
        <v>8</v>
      </c>
    </row>
    <row r="2" spans="1:3" x14ac:dyDescent="0.35">
      <c r="A2" t="s">
        <v>1</v>
      </c>
      <c r="B2">
        <v>10511566</v>
      </c>
      <c r="C2" t="s">
        <v>9</v>
      </c>
    </row>
    <row r="3" spans="1:3" x14ac:dyDescent="0.35">
      <c r="A3" t="s">
        <v>21</v>
      </c>
      <c r="B3">
        <f>11175+7972854</f>
        <v>7984029</v>
      </c>
    </row>
    <row r="4" spans="1:3" x14ac:dyDescent="0.35">
      <c r="A4" t="s">
        <v>2</v>
      </c>
      <c r="B4">
        <f>11132+7970750</f>
        <v>7981882</v>
      </c>
    </row>
    <row r="5" spans="1:3" x14ac:dyDescent="0.35">
      <c r="A5" t="s">
        <v>3</v>
      </c>
      <c r="B5">
        <v>6997878</v>
      </c>
      <c r="C5" t="s">
        <v>10</v>
      </c>
    </row>
    <row r="6" spans="1:3" x14ac:dyDescent="0.35">
      <c r="A6" t="s">
        <v>22</v>
      </c>
      <c r="B6">
        <v>5981315</v>
      </c>
      <c r="C6" t="s">
        <v>11</v>
      </c>
    </row>
    <row r="7" spans="1:3" x14ac:dyDescent="0.35">
      <c r="A7" t="s">
        <v>4</v>
      </c>
      <c r="B7">
        <v>5976798</v>
      </c>
      <c r="C7" t="s">
        <v>12</v>
      </c>
    </row>
    <row r="8" spans="1:3" x14ac:dyDescent="0.35">
      <c r="A8" t="s">
        <v>5</v>
      </c>
      <c r="B8">
        <v>5937122</v>
      </c>
      <c r="C8" t="s">
        <v>13</v>
      </c>
    </row>
    <row r="9" spans="1:3" x14ac:dyDescent="0.35">
      <c r="A9" t="s">
        <v>17</v>
      </c>
      <c r="B9">
        <v>5914240</v>
      </c>
      <c r="C9" t="s">
        <v>18</v>
      </c>
    </row>
    <row r="10" spans="1:3" x14ac:dyDescent="0.35">
      <c r="A10" t="s">
        <v>6</v>
      </c>
      <c r="B10">
        <v>5914240</v>
      </c>
    </row>
    <row r="11" spans="1:3" x14ac:dyDescent="0.35">
      <c r="A11" t="s">
        <v>7</v>
      </c>
      <c r="B11">
        <v>5708287</v>
      </c>
      <c r="C11" t="s">
        <v>14</v>
      </c>
    </row>
    <row r="12" spans="1:3" x14ac:dyDescent="0.35">
      <c r="A12" t="s">
        <v>25</v>
      </c>
      <c r="B12">
        <v>5536315</v>
      </c>
    </row>
    <row r="13" spans="1:3" x14ac:dyDescent="0.35">
      <c r="A13" t="s">
        <v>24</v>
      </c>
      <c r="B13">
        <v>3525149</v>
      </c>
    </row>
    <row r="14" spans="1:3" x14ac:dyDescent="0.35">
      <c r="A14" t="s">
        <v>19</v>
      </c>
      <c r="B14">
        <v>1358462</v>
      </c>
      <c r="C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048A-F3BF-4813-8F3A-756A9D237A60}">
  <dimension ref="A1:B10"/>
  <sheetViews>
    <sheetView tabSelected="1" workbookViewId="0">
      <selection activeCell="E7" sqref="E7"/>
    </sheetView>
  </sheetViews>
  <sheetFormatPr defaultRowHeight="14.5" x14ac:dyDescent="0.35"/>
  <sheetData>
    <row r="1" spans="1:2" x14ac:dyDescent="0.35">
      <c r="B1" t="s">
        <v>15</v>
      </c>
    </row>
    <row r="2" spans="1:2" x14ac:dyDescent="0.35">
      <c r="A2" t="s">
        <v>23</v>
      </c>
      <c r="B2">
        <v>3609</v>
      </c>
    </row>
    <row r="3" spans="1:2" x14ac:dyDescent="0.35">
      <c r="A3" t="s">
        <v>16</v>
      </c>
      <c r="B3">
        <v>3605</v>
      </c>
    </row>
    <row r="4" spans="1:2" x14ac:dyDescent="0.35">
      <c r="A4" t="s">
        <v>5</v>
      </c>
      <c r="B4">
        <v>3555</v>
      </c>
    </row>
    <row r="5" spans="1:2" x14ac:dyDescent="0.35">
      <c r="A5" t="s">
        <v>17</v>
      </c>
      <c r="B5">
        <v>3550</v>
      </c>
    </row>
    <row r="6" spans="1:2" x14ac:dyDescent="0.35">
      <c r="A6" t="s">
        <v>6</v>
      </c>
      <c r="B6">
        <v>3550</v>
      </c>
    </row>
    <row r="7" spans="1:2" x14ac:dyDescent="0.35">
      <c r="A7" t="s">
        <v>7</v>
      </c>
      <c r="B7">
        <v>2980</v>
      </c>
    </row>
    <row r="8" spans="1:2" x14ac:dyDescent="0.35">
      <c r="A8" t="s">
        <v>25</v>
      </c>
      <c r="B8">
        <v>2420</v>
      </c>
    </row>
    <row r="9" spans="1:2" x14ac:dyDescent="0.35">
      <c r="A9" t="s">
        <v>24</v>
      </c>
      <c r="B9">
        <v>876</v>
      </c>
    </row>
    <row r="10" spans="1:2" x14ac:dyDescent="0.35">
      <c r="A10" t="s">
        <v>19</v>
      </c>
      <c r="B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reads</vt:lpstr>
      <vt:lpstr>otus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Venus van Hoof</dc:creator>
  <cp:lastModifiedBy>Hoof, Venus van</cp:lastModifiedBy>
  <dcterms:created xsi:type="dcterms:W3CDTF">2025-08-27T11:38:17Z</dcterms:created>
  <dcterms:modified xsi:type="dcterms:W3CDTF">2025-09-24T15:28:03Z</dcterms:modified>
</cp:coreProperties>
</file>