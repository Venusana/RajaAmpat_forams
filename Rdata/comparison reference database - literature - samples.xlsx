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venus_vanhoof_wur_nl/Documents/master year 2/THESIS/data analysis/"/>
    </mc:Choice>
  </mc:AlternateContent>
  <xr:revisionPtr revIDLastSave="1369" documentId="8_{DBAFEAA6-C5B0-4C67-9D6C-78B6D339B8B6}" xr6:coauthVersionLast="47" xr6:coauthVersionMax="47" xr10:uidLastSave="{9A8AEE31-FD23-4979-869F-FF0082FB8D7E}"/>
  <bookViews>
    <workbookView xWindow="-110" yWindow="-110" windowWidth="19420" windowHeight="10300" xr2:uid="{1E9BB673-9981-4DD9-B37E-3A09ABE1D5E0}"/>
  </bookViews>
  <sheets>
    <sheet name="comparison sheet" sheetId="6" r:id="rId1"/>
    <sheet name="Foram_overview" sheetId="3" r:id="rId2"/>
    <sheet name="LBF" sheetId="4" r:id="rId3"/>
    <sheet name="LBF_overview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2" i="4" l="1"/>
  <c r="C3" i="4"/>
  <c r="C4" i="4"/>
  <c r="C32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49" i="4"/>
  <c r="C3" i="3"/>
  <c r="D3" i="3"/>
  <c r="E3" i="3"/>
  <c r="D78" i="6"/>
  <c r="F78" i="6"/>
  <c r="E78" i="6" l="1"/>
</calcChain>
</file>

<file path=xl/sharedStrings.xml><?xml version="1.0" encoding="utf-8"?>
<sst xmlns="http://schemas.openxmlformats.org/spreadsheetml/2006/main" count="1335" uniqueCount="297">
  <si>
    <t>Species</t>
  </si>
  <si>
    <t>Morphospecies</t>
  </si>
  <si>
    <t>Genus</t>
  </si>
  <si>
    <t>Family</t>
  </si>
  <si>
    <t>Class</t>
  </si>
  <si>
    <t xml:space="preserve">Order </t>
  </si>
  <si>
    <t>Discanomalina coronata 18034</t>
  </si>
  <si>
    <t>Discanomalina coronata</t>
  </si>
  <si>
    <t>Discanomalina</t>
  </si>
  <si>
    <t>Globothalamea</t>
  </si>
  <si>
    <t>Rotaliida</t>
  </si>
  <si>
    <t>Oridorsalis umbonatus 18653</t>
  </si>
  <si>
    <t xml:space="preserve">Oridorsalis umbonatus </t>
  </si>
  <si>
    <t>Oridorsalis</t>
  </si>
  <si>
    <t>Alabaminidae</t>
  </si>
  <si>
    <t>Micrometula sp. 17554</t>
  </si>
  <si>
    <t xml:space="preserve">Micrometula sp. </t>
  </si>
  <si>
    <t>Micrometula</t>
  </si>
  <si>
    <t>Allogromiidae</t>
  </si>
  <si>
    <t>Monothalamea</t>
  </si>
  <si>
    <t>Allogromiida</t>
  </si>
  <si>
    <t>Alveolinella quoyi</t>
  </si>
  <si>
    <t>Alveolinella</t>
  </si>
  <si>
    <t>Alveolinidae</t>
  </si>
  <si>
    <t>Tubothalamea</t>
  </si>
  <si>
    <t>Miliolida</t>
  </si>
  <si>
    <t>Borelis schlumbergeri NBCLAB3737</t>
  </si>
  <si>
    <t>Borelis schlumbergeri</t>
  </si>
  <si>
    <t>Borelis</t>
  </si>
  <si>
    <t>Cribrostomoides sp. 17496</t>
  </si>
  <si>
    <t>Cribrostomoides sp.</t>
  </si>
  <si>
    <t>Cribrostomoides</t>
  </si>
  <si>
    <t>Ammosphaeroidinidae</t>
  </si>
  <si>
    <t>Lituolida</t>
  </si>
  <si>
    <t>Amphistegina lessonii</t>
  </si>
  <si>
    <t>Amphistegina</t>
  </si>
  <si>
    <t>Amphisteginidae</t>
  </si>
  <si>
    <t>Amphistegina lessonii NBCLAB5174</t>
  </si>
  <si>
    <t>Amphistegina lobifera</t>
  </si>
  <si>
    <t>Amphistegina papillosa GBR</t>
  </si>
  <si>
    <t>Amphistegina papillosa</t>
  </si>
  <si>
    <t>Amphistegina papillosa Spermonde NBCLAB3741</t>
  </si>
  <si>
    <t>Amphistegina radiata</t>
  </si>
  <si>
    <t>Bolivina sp. 17601 / Bolivina sp. 17907</t>
  </si>
  <si>
    <t>Bolivina sp.</t>
  </si>
  <si>
    <t>Bolivina</t>
  </si>
  <si>
    <t>Bolivinitidae</t>
  </si>
  <si>
    <t>Calcarina gaudichaudii</t>
  </si>
  <si>
    <t>Calcarina</t>
  </si>
  <si>
    <t>Calcarinidae</t>
  </si>
  <si>
    <t>Calcarina hispida Ambon / Calcarina spengleri / Calcarina sp. NBCLAB5247</t>
  </si>
  <si>
    <t>Calcarina hispida Spermonde / Calcarina sp. NBCLAB5163</t>
  </si>
  <si>
    <t>Calcarina sp. NBCLAB5164</t>
  </si>
  <si>
    <t>Calcarina sp. NBCLAB5165</t>
  </si>
  <si>
    <t>Calcarina sp. Spermonde</t>
  </si>
  <si>
    <t>Calcarina sp. Sumba 18664</t>
  </si>
  <si>
    <t>Neorotalia calcar</t>
  </si>
  <si>
    <t>Neorotalia</t>
  </si>
  <si>
    <t>Neorotalia gaimardi / Baculogypsina sphaerulata</t>
  </si>
  <si>
    <t>Cassidulinoides parkerianus 20889</t>
  </si>
  <si>
    <t>Cassidulinoides parkerianus</t>
  </si>
  <si>
    <t>Cassidulinoides</t>
  </si>
  <si>
    <t>Cassidulinidae</t>
  </si>
  <si>
    <t>Globocassidulina biora 17225</t>
  </si>
  <si>
    <t>Globocassidulina biora</t>
  </si>
  <si>
    <t>Globocassidulina</t>
  </si>
  <si>
    <t>Lobatula lobatula 17944</t>
  </si>
  <si>
    <t>Lobatula</t>
  </si>
  <si>
    <t>Cibicididae</t>
  </si>
  <si>
    <t>Lobatula wuellerstorfi 19688</t>
  </si>
  <si>
    <t>Elphidium williamsoni 13170</t>
  </si>
  <si>
    <t>Elphidium</t>
  </si>
  <si>
    <t>Elphidiidae</t>
  </si>
  <si>
    <t>Glabratella sp. 17918</t>
  </si>
  <si>
    <t xml:space="preserve">Glabratella sp. </t>
  </si>
  <si>
    <t>Glabratella</t>
  </si>
  <si>
    <t>Glabratellidae</t>
  </si>
  <si>
    <t>Glabratellina sp. 17921 / Planoglabratella opercularis 18053 / Planoglabratella sp.</t>
  </si>
  <si>
    <t>Glabratellina sp. / Planoglabratella opercularis / Planoglabratella sp.</t>
  </si>
  <si>
    <t>Orbulina universa</t>
  </si>
  <si>
    <t>Orbulina</t>
  </si>
  <si>
    <t>Globigerinidae</t>
  </si>
  <si>
    <t>Haynesina germanica 18209</t>
  </si>
  <si>
    <t>Haynesina germanica</t>
  </si>
  <si>
    <t>Haynesina</t>
  </si>
  <si>
    <t>Haynesinidae</t>
  </si>
  <si>
    <t>Lacogromia cassipara 18990</t>
  </si>
  <si>
    <t>Lacogromia</t>
  </si>
  <si>
    <t>Lacogromiidae</t>
  </si>
  <si>
    <t>Murrayinella globosa 18043</t>
  </si>
  <si>
    <t>Murrayinella globosa</t>
  </si>
  <si>
    <t>Murrayinella</t>
  </si>
  <si>
    <t>Murrayinellidae</t>
  </si>
  <si>
    <t>Buccella frigida 6300</t>
  </si>
  <si>
    <t>Buccella frigida</t>
  </si>
  <si>
    <t>Buccella</t>
  </si>
  <si>
    <t>Notorotaliidae</t>
  </si>
  <si>
    <t>Buccella peruviana 17572</t>
  </si>
  <si>
    <t>Buccella peruviana</t>
  </si>
  <si>
    <t>Notorotalia finlayi 16463</t>
  </si>
  <si>
    <t>Notorotalia finlayi</t>
  </si>
  <si>
    <t>Notorotalia</t>
  </si>
  <si>
    <t>Heterostegina depressa sp1</t>
  </si>
  <si>
    <t>Heterostegina depressa</t>
  </si>
  <si>
    <t>Heterostegina</t>
  </si>
  <si>
    <t>Nummulitidae</t>
  </si>
  <si>
    <t>Heterostegina depressa sp2</t>
  </si>
  <si>
    <t>Heterostegina depressa 14668</t>
  </si>
  <si>
    <t>Neoassilina ammonoides 19231</t>
  </si>
  <si>
    <t>Neoassilina ammonoides</t>
  </si>
  <si>
    <t>Neoassilina</t>
  </si>
  <si>
    <t>Nummulites venosus</t>
  </si>
  <si>
    <t>Nummulites</t>
  </si>
  <si>
    <t>Operculina ammonoides</t>
  </si>
  <si>
    <t>Operculina</t>
  </si>
  <si>
    <t>Operculina complanata</t>
  </si>
  <si>
    <t>Operculina heterosteginoides</t>
  </si>
  <si>
    <t>Operculina sp. NBCLAB5195</t>
  </si>
  <si>
    <t xml:space="preserve">Operculina sp. </t>
  </si>
  <si>
    <t>Operculinella cumingii NBCLAB3740</t>
  </si>
  <si>
    <t>Operculinella cumingii</t>
  </si>
  <si>
    <t>Operculinella</t>
  </si>
  <si>
    <t>Planostegina operculinoides NBCLAB5180</t>
  </si>
  <si>
    <t>Planostegina operculinoides</t>
  </si>
  <si>
    <t>Planostegina</t>
  </si>
  <si>
    <t>Peneroplis sp1</t>
  </si>
  <si>
    <t>Peneroplis</t>
  </si>
  <si>
    <t>Peneroplidae</t>
  </si>
  <si>
    <t>Peneroplis sp2 / Peneroplis pertusus NBCLAB5117 / Dendritina ambigua</t>
  </si>
  <si>
    <t>Planorbulinella sp. 17893</t>
  </si>
  <si>
    <t>Planorbulinella</t>
  </si>
  <si>
    <t>Planorbulinidae</t>
  </si>
  <si>
    <t>Eggerelloides scabrum 12301</t>
  </si>
  <si>
    <t>Eggerelloides scabrum</t>
  </si>
  <si>
    <t>Eggerelloides</t>
  </si>
  <si>
    <t>Prolixoplectidae</t>
  </si>
  <si>
    <t>Psammina limbata 18230</t>
  </si>
  <si>
    <t>Psammina limbata</t>
  </si>
  <si>
    <t>Psammina</t>
  </si>
  <si>
    <t>Psamminidae</t>
  </si>
  <si>
    <t>Xenophyophoroidea</t>
  </si>
  <si>
    <t>Epistominella exigua 18607</t>
  </si>
  <si>
    <t>Epistominella</t>
  </si>
  <si>
    <t>Pseudoparrellidae</t>
  </si>
  <si>
    <t>Pullenia subcarinata 8292</t>
  </si>
  <si>
    <t xml:space="preserve">Pullenia subcarinata </t>
  </si>
  <si>
    <t>Pullenia</t>
  </si>
  <si>
    <t>Pulleniidae</t>
  </si>
  <si>
    <t>Rosalina sp. 14698</t>
  </si>
  <si>
    <t>Rosalina sp.</t>
  </si>
  <si>
    <t>Rosalina</t>
  </si>
  <si>
    <t>Rosalinidae</t>
  </si>
  <si>
    <t>Rosalina sp. 17595</t>
  </si>
  <si>
    <t>Psammophaga sp. 19260 / Psammophaga sp. 19296 / Psammophaga sp2</t>
  </si>
  <si>
    <t>Psammophaga sp. / Psammophaga sp2</t>
  </si>
  <si>
    <t>Psammophaga</t>
  </si>
  <si>
    <t>Saccamminidae</t>
  </si>
  <si>
    <t>Astrorhizida</t>
  </si>
  <si>
    <t>Psammophaga sp1 19298</t>
  </si>
  <si>
    <t>Psammophaga sp1</t>
  </si>
  <si>
    <t>Amphisorus sp. / Amphisorus SpL / Amphisorus SpS</t>
  </si>
  <si>
    <t>Amphisorus</t>
  </si>
  <si>
    <t>Soritidae</t>
  </si>
  <si>
    <t>Marginopora vertebralis</t>
  </si>
  <si>
    <t>Marginopora</t>
  </si>
  <si>
    <t>Parasorites sp.</t>
  </si>
  <si>
    <t>Parasorites</t>
  </si>
  <si>
    <t>Sorites sp1</t>
  </si>
  <si>
    <t>Sorites</t>
  </si>
  <si>
    <t>Sorites sp2</t>
  </si>
  <si>
    <t>Spiroplectammina sp. 12209</t>
  </si>
  <si>
    <t>Spiroplectammina sp.</t>
  </si>
  <si>
    <t>Spiroplectammina</t>
  </si>
  <si>
    <t>Spiroplectamminidae</t>
  </si>
  <si>
    <t>Stainforthia sp. 17321</t>
  </si>
  <si>
    <t>Stainforthia sp.</t>
  </si>
  <si>
    <t>Stainforthia</t>
  </si>
  <si>
    <t>Stainforthiidae</t>
  </si>
  <si>
    <t>Aschemonella monile 18080</t>
  </si>
  <si>
    <t>Aschemonella monile</t>
  </si>
  <si>
    <t>Aschemonella</t>
  </si>
  <si>
    <t>Stannomidae</t>
  </si>
  <si>
    <t>Textularia gramen 13633</t>
  </si>
  <si>
    <t>Textularia gramen</t>
  </si>
  <si>
    <t>Textularia</t>
  </si>
  <si>
    <t>Textulariidae</t>
  </si>
  <si>
    <t>Textulariida</t>
  </si>
  <si>
    <t>Entzia macrescens 13533</t>
  </si>
  <si>
    <t>Entzia</t>
  </si>
  <si>
    <t>Trochamminidae</t>
  </si>
  <si>
    <t>Trochammina hadai 21192</t>
  </si>
  <si>
    <t>Trochammina hadai</t>
  </si>
  <si>
    <t>Trochammina</t>
  </si>
  <si>
    <t>Trifarina earlandi / Uvigerina bifurcata</t>
  </si>
  <si>
    <t>Uvigerinidae</t>
  </si>
  <si>
    <t>Bizarria bryiformis 18256</t>
  </si>
  <si>
    <t xml:space="preserve">Bizarria bryiformis </t>
  </si>
  <si>
    <t>Bizarria</t>
  </si>
  <si>
    <t>Cribrorotalia sp. 17611</t>
  </si>
  <si>
    <t>Cribrorotalia sp.</t>
  </si>
  <si>
    <t>Cribrorotalia</t>
  </si>
  <si>
    <t>Cyrea szymborska 17247</t>
  </si>
  <si>
    <t>Cyrea szymborska</t>
  </si>
  <si>
    <t>Cyrea</t>
  </si>
  <si>
    <t>COI Foraminifera reference database</t>
  </si>
  <si>
    <t>Species2</t>
  </si>
  <si>
    <t>Genus2</t>
  </si>
  <si>
    <t>Family2</t>
  </si>
  <si>
    <t>Order</t>
  </si>
  <si>
    <t>yes</t>
  </si>
  <si>
    <t>Presence in Raja Ampat (literature-based)</t>
  </si>
  <si>
    <t>no</t>
  </si>
  <si>
    <t>Genus3</t>
  </si>
  <si>
    <t>Family3</t>
  </si>
  <si>
    <t>Order3</t>
  </si>
  <si>
    <t>Presence in sediment samples (microscopy)</t>
  </si>
  <si>
    <t>LBF?</t>
  </si>
  <si>
    <t>SBF</t>
  </si>
  <si>
    <t>LBF</t>
  </si>
  <si>
    <t>source</t>
  </si>
  <si>
    <t>COI_reference_database</t>
  </si>
  <si>
    <t>literature</t>
  </si>
  <si>
    <t>sediment_samples</t>
  </si>
  <si>
    <t>species</t>
  </si>
  <si>
    <t>genus</t>
  </si>
  <si>
    <t>family</t>
  </si>
  <si>
    <t>order</t>
  </si>
  <si>
    <t>Gavelinellidae</t>
  </si>
  <si>
    <t>overlap_lit_db</t>
  </si>
  <si>
    <t>overlap_sed_db</t>
  </si>
  <si>
    <t>Amphisorus hemprichii</t>
  </si>
  <si>
    <t>Amphistegina bicirculata</t>
  </si>
  <si>
    <t>Amphistegina madagascariensis</t>
  </si>
  <si>
    <t>Amphistegina sp.</t>
  </si>
  <si>
    <t>Baculogypsina sphaerulata</t>
  </si>
  <si>
    <t>Baculogypsinoides spinosus</t>
  </si>
  <si>
    <t>Borelis pulchra</t>
  </si>
  <si>
    <t>Calcarina defrancei</t>
  </si>
  <si>
    <t>Calcarina mayori</t>
  </si>
  <si>
    <t>Cycleoclypeus carpenteri</t>
  </si>
  <si>
    <t>Dendritina zhengae</t>
  </si>
  <si>
    <t>Heterostegina depresssa</t>
  </si>
  <si>
    <t>Laevipeneroplis bradyi</t>
  </si>
  <si>
    <t>Laevipeneroplis malayensis</t>
  </si>
  <si>
    <t>Monalysidium okinawaense</t>
  </si>
  <si>
    <t>Parasorites orbitolitoides</t>
  </si>
  <si>
    <t>Peneroplis antillarum</t>
  </si>
  <si>
    <t>Peneroplis pertusus</t>
  </si>
  <si>
    <t>Peneroplis planatus</t>
  </si>
  <si>
    <t>Planoperculina heterosteginoides</t>
  </si>
  <si>
    <t>Sorites orbiculus</t>
  </si>
  <si>
    <t>present</t>
  </si>
  <si>
    <t>Glabratellina/Planoglabratella</t>
  </si>
  <si>
    <t>Neorotalia/Baculogypsina</t>
  </si>
  <si>
    <t>Peneroplis/Dendritina</t>
  </si>
  <si>
    <t>Trifarina/Uvigerina</t>
  </si>
  <si>
    <t>yes/yes</t>
  </si>
  <si>
    <t>no/yes</t>
  </si>
  <si>
    <t>yes/no</t>
  </si>
  <si>
    <t>no/no</t>
  </si>
  <si>
    <t>Neorotalia gaimardi</t>
  </si>
  <si>
    <t>Sorites sp</t>
  </si>
  <si>
    <t>Peneroplis sp</t>
  </si>
  <si>
    <t>Calcarina sp</t>
  </si>
  <si>
    <t>Calcarina spengleri</t>
  </si>
  <si>
    <t xml:space="preserve">Monalysidium aciculare </t>
  </si>
  <si>
    <t xml:space="preserve">Neorotalia calcar </t>
  </si>
  <si>
    <t xml:space="preserve">Operculina ammonoides </t>
  </si>
  <si>
    <t xml:space="preserve">Operculina complanata </t>
  </si>
  <si>
    <t>Sorites marginalis</t>
  </si>
  <si>
    <t>Dendritina ambigua</t>
  </si>
  <si>
    <t>COI DB</t>
  </si>
  <si>
    <t>documented species</t>
  </si>
  <si>
    <t>Calcarina  hispida</t>
  </si>
  <si>
    <t>sampled genera</t>
  </si>
  <si>
    <t>documented genera</t>
  </si>
  <si>
    <t>Borelis schlumbergeri (10)</t>
  </si>
  <si>
    <t xml:space="preserve">Entzia macrescens </t>
  </si>
  <si>
    <t>Epistominella exigua (30)</t>
  </si>
  <si>
    <t xml:space="preserve">Lobatula lobatula </t>
  </si>
  <si>
    <t>Lobatula wuellerstorfi (40)</t>
  </si>
  <si>
    <t xml:space="preserve">Nummulites venosus </t>
  </si>
  <si>
    <t>Operculina ammonoides (50)</t>
  </si>
  <si>
    <t>Planorbulinella sp. 62)</t>
  </si>
  <si>
    <t>Rosalina sp. (70)</t>
  </si>
  <si>
    <t>overlap</t>
  </si>
  <si>
    <t>Calcarina hispida Ambon / Calcarina spengleri / Calcarina sp. 1</t>
  </si>
  <si>
    <t>Calcarina sp. 3</t>
  </si>
  <si>
    <t>Calcarina sp.4</t>
  </si>
  <si>
    <t>Calcarina sp.  5</t>
  </si>
  <si>
    <t>Calcarina sp. 6</t>
  </si>
  <si>
    <t>Sorites sp. 1</t>
  </si>
  <si>
    <t>Sorites sp.2</t>
  </si>
  <si>
    <t>Peneroplis sp.1</t>
  </si>
  <si>
    <t>Peneroplis sp. 2/ Peneroplis pertusus / Dendritina ambigua</t>
  </si>
  <si>
    <t>Elphidium williamsoni (30)</t>
  </si>
  <si>
    <t>Lacogromia cassipara 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</si>
</sst>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</fills>
  <borders count="2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 tint="-0.14999847407452621"/>
      </left>
      <right/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12" xfId="0" applyBorder="1"/>
    <xf numFmtId="0" fontId="1" fillId="5" borderId="23" xfId="0" applyFont="1" applyFill="1" applyBorder="1"/>
    <xf numFmtId="0" fontId="1" fillId="5" borderId="11" xfId="0" applyFont="1" applyFill="1" applyBorder="1"/>
    <xf numFmtId="0" fontId="2" fillId="0" borderId="0" xfId="0" applyFont="1"/>
    <xf numFmtId="0" fontId="0" fillId="4" borderId="11" xfId="0" applyFill="1" applyBorder="1"/>
    <xf numFmtId="0" fontId="0" fillId="4" borderId="22" xfId="0" applyFill="1" applyBorder="1"/>
    <xf numFmtId="0" fontId="1" fillId="5" borderId="0" xfId="0" applyFont="1" applyFill="1"/>
    <xf numFmtId="0" fontId="2" fillId="4" borderId="23" xfId="0" applyFont="1" applyFill="1" applyBorder="1"/>
    <xf numFmtId="0" fontId="2" fillId="4" borderId="7" xfId="0" applyFont="1" applyFill="1" applyBorder="1"/>
    <xf numFmtId="0" fontId="2" fillId="0" borderId="23" xfId="0" applyFont="1" applyBorder="1"/>
    <xf numFmtId="0" fontId="2" fillId="4" borderId="3" xfId="0" applyFont="1" applyFill="1" applyBorder="1"/>
    <xf numFmtId="0" fontId="2" fillId="0" borderId="7" xfId="0" applyFont="1" applyBorder="1"/>
    <xf numFmtId="0" fontId="0" fillId="4" borderId="0" xfId="0" applyFill="1"/>
    <xf numFmtId="0" fontId="2" fillId="4" borderId="24" xfId="0" applyFont="1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border diagonalUp="0" diagonalDown="0">
        <left style="thin">
          <color theme="0" tint="-0.14999847407452621"/>
        </left>
        <right style="medium">
          <color theme="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medium">
          <color theme="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/>
        <right style="thin">
          <color theme="1"/>
        </right>
        <top/>
        <bottom/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medium">
          <color theme="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medium">
          <color theme="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020F2948F32E3A0/Documents/Master%20thesis/foram%20species%20in%20samples.xlsx" TargetMode="External"/><Relationship Id="rId1" Type="http://schemas.openxmlformats.org/officeDocument/2006/relationships/externalLinkPath" Target="https://d.docs.live.net/A020F2948F32E3A0/Documents/Master%20thesis/foram%20species%20in%20s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4"/>
    </sheetNames>
    <sheetDataSet>
      <sheetData sheetId="0"/>
      <sheetData sheetId="1">
        <row r="71">
          <cell r="I71">
            <v>3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6CDBC3-4635-4D5E-8419-F1CC910BAF80}" name="Table36" displayName="Table36" ref="A2:N75" totalsRowShown="0">
  <autoFilter ref="A2:N75" xr:uid="{1B75FEE7-740B-4976-AF06-C3B6AFC6E143}"/>
  <sortState xmlns:xlrd2="http://schemas.microsoft.com/office/spreadsheetml/2017/richdata2" ref="A3:N75">
    <sortCondition ref="B2:B75"/>
  </sortState>
  <tableColumns count="14">
    <tableColumn id="1" xr3:uid="{1F308AFE-1053-4A80-8C99-C2A99A96B629}" name="Species" dataDxfId="8"/>
    <tableColumn id="2" xr3:uid="{F27BAC91-3AD4-4DF4-9582-0BBA34F083B5}" name="Morphospecies" dataDxfId="7"/>
    <tableColumn id="3" xr3:uid="{EE1135D4-64A4-4056-B1E6-49D38DF7C153}" name="Genus" dataDxfId="6"/>
    <tableColumn id="4" xr3:uid="{0A163188-1104-4CA6-AFAF-DDC3C8F473A2}" name="Family"/>
    <tableColumn id="6" xr3:uid="{A0234163-70A0-4487-933C-2C160A5EB9A6}" name="Order "/>
    <tableColumn id="15" xr3:uid="{7D830238-5982-40CE-A7B0-EDB30D388D67}" name="Class"/>
    <tableColumn id="14" xr3:uid="{00D2C446-9E25-4F14-8760-264456876E46}" name="LBF?" dataDxfId="5"/>
    <tableColumn id="7" xr3:uid="{3E1796F9-7E2D-42EC-AEF5-38A19F6461A1}" name="Species2" dataDxfId="4"/>
    <tableColumn id="8" xr3:uid="{2DA7E8E0-A665-4EC5-A09B-747A50FB9941}" name="Genus2" dataDxfId="3"/>
    <tableColumn id="9" xr3:uid="{01D78589-0C69-45B3-830D-A63B6402110C}" name="Family2" dataDxfId="2"/>
    <tableColumn id="10" xr3:uid="{7F9E3493-065E-4089-A969-002032897BD5}" name="Order" dataDxfId="1"/>
    <tableColumn id="11" xr3:uid="{85BCB00E-41D5-4FA5-A0D0-7404568EAB67}" name="Genus3"/>
    <tableColumn id="12" xr3:uid="{95AA3A11-68F1-46DE-95E7-8B2D0A3F4801}" name="Family3"/>
    <tableColumn id="13" xr3:uid="{CACF3F2C-8948-4E25-88EC-E88F3AA88A36}" name="Order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07AE3-F8B4-4E29-B670-7476E54CBAFE}" name="Table2" displayName="Table2" ref="A1:H49" totalsRowShown="0">
  <autoFilter ref="A1:H49" xr:uid="{38007AE3-F8B4-4E29-B670-7476E54CBAFE}"/>
  <sortState xmlns:xlrd2="http://schemas.microsoft.com/office/spreadsheetml/2017/richdata2" ref="A2:H49">
    <sortCondition ref="B1:B49"/>
  </sortState>
  <tableColumns count="8">
    <tableColumn id="1" xr3:uid="{AB2FB66C-58D4-41CE-A443-EE84E430E634}" name="Order"/>
    <tableColumn id="2" xr3:uid="{33095AC6-E8F7-4026-B0FA-E0213AD6D7D6}" name="Family"/>
    <tableColumn id="8" xr3:uid="{71558D00-D9AB-475F-9F5E-AE5AFCAD3E50}" name="Genus" dataDxfId="0">
      <calculatedColumnFormula>LEFT(D2,FIND(" ",D2)-1)</calculatedColumnFormula>
    </tableColumn>
    <tableColumn id="3" xr3:uid="{78FB0173-B069-4CEE-AE58-A54519E9CFAE}" name="Species"/>
    <tableColumn id="4" xr3:uid="{EDB6986B-2CEE-4D9B-BF56-55760B7838FE}" name="COI DB"/>
    <tableColumn id="5" xr3:uid="{B9CEFA47-C798-49C7-BED7-4342F0C06487}" name="documented species"/>
    <tableColumn id="7" xr3:uid="{D0A92449-996A-493D-8EF4-F28B88C90E54}" name="documented genera"/>
    <tableColumn id="6" xr3:uid="{B8530FA7-D3E5-475B-94B0-93E293F17651}" name="sampled gene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4913-AC07-4F0D-8894-266DC5CF8F1A}">
  <dimension ref="A1:T78"/>
  <sheetViews>
    <sheetView tabSelected="1" topLeftCell="A42" zoomScale="52" zoomScaleNormal="70" workbookViewId="0">
      <pane xSplit="6" topLeftCell="G1" activePane="topRight" state="frozen"/>
      <selection pane="topRight" activeCell="C14" sqref="C14"/>
    </sheetView>
  </sheetViews>
  <sheetFormatPr defaultRowHeight="14.5" x14ac:dyDescent="0.35"/>
  <cols>
    <col min="1" max="1" width="67.1796875" bestFit="1" customWidth="1"/>
    <col min="2" max="2" width="56.1796875" bestFit="1" customWidth="1"/>
    <col min="3" max="3" width="27.26953125" bestFit="1" customWidth="1"/>
    <col min="4" max="4" width="19.08984375" bestFit="1" customWidth="1"/>
    <col min="5" max="5" width="16.81640625" bestFit="1" customWidth="1"/>
    <col min="6" max="6" width="13.26953125" bestFit="1" customWidth="1"/>
    <col min="7" max="7" width="16.81640625" customWidth="1"/>
    <col min="8" max="8" width="11.54296875" bestFit="1" customWidth="1"/>
    <col min="9" max="9" width="10.36328125" bestFit="1" customWidth="1"/>
    <col min="10" max="10" width="10.6328125" bestFit="1" customWidth="1"/>
    <col min="12" max="12" width="14.6328125" bestFit="1" customWidth="1"/>
    <col min="13" max="13" width="14.81640625" bestFit="1" customWidth="1"/>
    <col min="14" max="14" width="13.7265625" bestFit="1" customWidth="1"/>
  </cols>
  <sheetData>
    <row r="1" spans="1:20" x14ac:dyDescent="0.35">
      <c r="A1" s="36" t="s">
        <v>204</v>
      </c>
      <c r="B1" s="36"/>
      <c r="C1" s="36"/>
      <c r="D1" s="36"/>
      <c r="E1" s="36"/>
      <c r="F1" s="1"/>
      <c r="G1" s="1"/>
      <c r="H1" s="37" t="s">
        <v>210</v>
      </c>
      <c r="I1" s="37"/>
      <c r="J1" s="37"/>
      <c r="K1" s="37"/>
      <c r="L1" s="38" t="s">
        <v>215</v>
      </c>
      <c r="M1" s="38"/>
      <c r="N1" s="38"/>
    </row>
    <row r="2" spans="1:20" ht="15" thickBot="1" x14ac:dyDescent="0.4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G2" t="s">
        <v>216</v>
      </c>
      <c r="H2" t="s">
        <v>205</v>
      </c>
      <c r="I2" t="s">
        <v>206</v>
      </c>
      <c r="J2" t="s">
        <v>207</v>
      </c>
      <c r="K2" t="s">
        <v>208</v>
      </c>
      <c r="L2" t="s">
        <v>212</v>
      </c>
      <c r="M2" t="s">
        <v>213</v>
      </c>
      <c r="N2" t="s">
        <v>214</v>
      </c>
    </row>
    <row r="3" spans="1:20" ht="15" thickBot="1" x14ac:dyDescent="0.4">
      <c r="A3" s="18" t="s">
        <v>21</v>
      </c>
      <c r="B3" s="5" t="s">
        <v>21</v>
      </c>
      <c r="C3" s="12" t="s">
        <v>22</v>
      </c>
      <c r="D3" t="s">
        <v>23</v>
      </c>
      <c r="E3" t="s">
        <v>25</v>
      </c>
      <c r="F3" t="s">
        <v>24</v>
      </c>
      <c r="G3" s="22" t="s">
        <v>218</v>
      </c>
      <c r="H3" s="15" t="s">
        <v>209</v>
      </c>
      <c r="I3" s="6" t="s">
        <v>209</v>
      </c>
      <c r="J3" s="6" t="s">
        <v>209</v>
      </c>
      <c r="K3" s="7" t="s">
        <v>209</v>
      </c>
      <c r="L3" t="s">
        <v>211</v>
      </c>
      <c r="M3" t="s">
        <v>211</v>
      </c>
      <c r="N3" t="s">
        <v>209</v>
      </c>
    </row>
    <row r="4" spans="1:20" ht="15" thickBot="1" x14ac:dyDescent="0.4">
      <c r="A4" s="19" t="s">
        <v>160</v>
      </c>
      <c r="B4" s="8" t="s">
        <v>160</v>
      </c>
      <c r="C4" s="13" t="s">
        <v>161</v>
      </c>
      <c r="D4" t="s">
        <v>162</v>
      </c>
      <c r="E4" t="s">
        <v>25</v>
      </c>
      <c r="F4" t="s">
        <v>24</v>
      </c>
      <c r="G4" s="22" t="s">
        <v>218</v>
      </c>
      <c r="H4" s="16" t="s">
        <v>211</v>
      </c>
      <c r="I4" s="4" t="s">
        <v>209</v>
      </c>
      <c r="J4" s="4" t="s">
        <v>209</v>
      </c>
      <c r="K4" s="7" t="s">
        <v>209</v>
      </c>
      <c r="L4" t="s">
        <v>211</v>
      </c>
      <c r="M4" t="s">
        <v>209</v>
      </c>
      <c r="N4" t="s">
        <v>209</v>
      </c>
    </row>
    <row r="5" spans="1:20" ht="15" thickBot="1" x14ac:dyDescent="0.4">
      <c r="A5" s="19" t="s">
        <v>34</v>
      </c>
      <c r="B5" s="8" t="s">
        <v>34</v>
      </c>
      <c r="C5" s="13" t="s">
        <v>35</v>
      </c>
      <c r="D5" t="s">
        <v>36</v>
      </c>
      <c r="E5" t="s">
        <v>10</v>
      </c>
      <c r="F5" t="s">
        <v>9</v>
      </c>
      <c r="G5" s="22" t="s">
        <v>218</v>
      </c>
      <c r="H5" s="16" t="s">
        <v>209</v>
      </c>
      <c r="I5" s="4" t="s">
        <v>209</v>
      </c>
      <c r="J5" s="4" t="s">
        <v>209</v>
      </c>
      <c r="K5" s="7" t="s">
        <v>209</v>
      </c>
      <c r="L5" t="s">
        <v>209</v>
      </c>
      <c r="M5" t="s">
        <v>209</v>
      </c>
      <c r="N5" t="s">
        <v>209</v>
      </c>
      <c r="T5" s="21"/>
    </row>
    <row r="6" spans="1:20" x14ac:dyDescent="0.35">
      <c r="A6" s="19" t="s">
        <v>37</v>
      </c>
      <c r="B6" s="8" t="s">
        <v>34</v>
      </c>
      <c r="C6" s="13" t="s">
        <v>35</v>
      </c>
      <c r="D6" t="s">
        <v>36</v>
      </c>
      <c r="E6" t="s">
        <v>10</v>
      </c>
      <c r="F6" t="s">
        <v>9</v>
      </c>
      <c r="G6" s="22" t="s">
        <v>218</v>
      </c>
      <c r="H6" s="16" t="s">
        <v>209</v>
      </c>
      <c r="I6" s="4" t="s">
        <v>209</v>
      </c>
      <c r="J6" s="4" t="s">
        <v>209</v>
      </c>
      <c r="K6" s="7" t="s">
        <v>209</v>
      </c>
      <c r="L6" t="s">
        <v>209</v>
      </c>
      <c r="M6" t="s">
        <v>209</v>
      </c>
      <c r="N6" t="s">
        <v>209</v>
      </c>
    </row>
    <row r="7" spans="1:20" x14ac:dyDescent="0.35">
      <c r="A7" s="19" t="s">
        <v>38</v>
      </c>
      <c r="B7" s="8" t="s">
        <v>38</v>
      </c>
      <c r="C7" s="13" t="s">
        <v>35</v>
      </c>
      <c r="D7" t="s">
        <v>36</v>
      </c>
      <c r="E7" t="s">
        <v>10</v>
      </c>
      <c r="F7" t="s">
        <v>9</v>
      </c>
      <c r="G7" s="22" t="s">
        <v>218</v>
      </c>
      <c r="H7" s="16" t="s">
        <v>209</v>
      </c>
      <c r="I7" s="4" t="s">
        <v>209</v>
      </c>
      <c r="J7" s="4" t="s">
        <v>209</v>
      </c>
      <c r="K7" s="9" t="s">
        <v>209</v>
      </c>
      <c r="L7" t="s">
        <v>209</v>
      </c>
      <c r="M7" t="s">
        <v>209</v>
      </c>
      <c r="N7" t="s">
        <v>209</v>
      </c>
      <c r="Q7" s="3"/>
    </row>
    <row r="8" spans="1:20" x14ac:dyDescent="0.35">
      <c r="A8" s="19" t="s">
        <v>39</v>
      </c>
      <c r="B8" s="8" t="s">
        <v>40</v>
      </c>
      <c r="C8" s="13" t="s">
        <v>35</v>
      </c>
      <c r="D8" t="s">
        <v>36</v>
      </c>
      <c r="E8" t="s">
        <v>10</v>
      </c>
      <c r="F8" t="s">
        <v>9</v>
      </c>
      <c r="G8" s="22" t="s">
        <v>218</v>
      </c>
      <c r="H8" s="16" t="s">
        <v>209</v>
      </c>
      <c r="I8" s="4" t="s">
        <v>209</v>
      </c>
      <c r="J8" s="4" t="s">
        <v>209</v>
      </c>
      <c r="K8" s="9" t="s">
        <v>209</v>
      </c>
      <c r="L8" t="s">
        <v>209</v>
      </c>
      <c r="M8" t="s">
        <v>209</v>
      </c>
      <c r="N8" t="s">
        <v>209</v>
      </c>
    </row>
    <row r="9" spans="1:20" x14ac:dyDescent="0.35">
      <c r="A9" s="19" t="s">
        <v>41</v>
      </c>
      <c r="B9" s="8" t="s">
        <v>40</v>
      </c>
      <c r="C9" s="13" t="s">
        <v>35</v>
      </c>
      <c r="D9" t="s">
        <v>36</v>
      </c>
      <c r="E9" t="s">
        <v>10</v>
      </c>
      <c r="F9" t="s">
        <v>9</v>
      </c>
      <c r="G9" s="22" t="s">
        <v>218</v>
      </c>
      <c r="H9" s="16" t="s">
        <v>209</v>
      </c>
      <c r="I9" s="4" t="s">
        <v>209</v>
      </c>
      <c r="J9" s="4" t="s">
        <v>209</v>
      </c>
      <c r="K9" s="9" t="s">
        <v>209</v>
      </c>
      <c r="L9" t="s">
        <v>209</v>
      </c>
      <c r="M9" t="s">
        <v>209</v>
      </c>
      <c r="N9" t="s">
        <v>209</v>
      </c>
    </row>
    <row r="10" spans="1:20" x14ac:dyDescent="0.35">
      <c r="A10" s="19" t="s">
        <v>42</v>
      </c>
      <c r="B10" s="8" t="s">
        <v>42</v>
      </c>
      <c r="C10" s="13" t="s">
        <v>35</v>
      </c>
      <c r="D10" t="s">
        <v>36</v>
      </c>
      <c r="E10" t="s">
        <v>10</v>
      </c>
      <c r="F10" t="s">
        <v>9</v>
      </c>
      <c r="G10" s="22" t="s">
        <v>218</v>
      </c>
      <c r="H10" s="16" t="s">
        <v>209</v>
      </c>
      <c r="I10" s="4" t="s">
        <v>209</v>
      </c>
      <c r="J10" s="4" t="s">
        <v>209</v>
      </c>
      <c r="K10" s="9" t="s">
        <v>209</v>
      </c>
      <c r="L10" t="s">
        <v>209</v>
      </c>
      <c r="M10" t="s">
        <v>209</v>
      </c>
      <c r="N10" t="s">
        <v>209</v>
      </c>
    </row>
    <row r="11" spans="1:20" x14ac:dyDescent="0.35">
      <c r="A11" s="19" t="s">
        <v>178</v>
      </c>
      <c r="B11" s="8" t="s">
        <v>179</v>
      </c>
      <c r="C11" s="13" t="s">
        <v>180</v>
      </c>
      <c r="D11" t="s">
        <v>181</v>
      </c>
      <c r="E11" t="s">
        <v>140</v>
      </c>
      <c r="F11" t="s">
        <v>19</v>
      </c>
      <c r="G11" s="22" t="s">
        <v>217</v>
      </c>
      <c r="H11" s="16" t="s">
        <v>211</v>
      </c>
      <c r="I11" s="4" t="s">
        <v>211</v>
      </c>
      <c r="J11" s="4" t="s">
        <v>211</v>
      </c>
      <c r="K11" s="9" t="s">
        <v>211</v>
      </c>
      <c r="L11" t="s">
        <v>211</v>
      </c>
      <c r="M11" t="s">
        <v>211</v>
      </c>
      <c r="N11" t="s">
        <v>211</v>
      </c>
      <c r="Q11" s="2"/>
    </row>
    <row r="12" spans="1:20" x14ac:dyDescent="0.35">
      <c r="A12" s="19" t="s">
        <v>195</v>
      </c>
      <c r="B12" s="8" t="s">
        <v>196</v>
      </c>
      <c r="C12" s="13" t="s">
        <v>197</v>
      </c>
      <c r="E12" t="s">
        <v>140</v>
      </c>
      <c r="F12" t="s">
        <v>19</v>
      </c>
      <c r="G12" s="22" t="s">
        <v>217</v>
      </c>
      <c r="H12" s="16" t="s">
        <v>211</v>
      </c>
      <c r="I12" s="4" t="s">
        <v>211</v>
      </c>
      <c r="J12" s="4" t="s">
        <v>211</v>
      </c>
      <c r="K12" s="9" t="s">
        <v>211</v>
      </c>
      <c r="L12" t="s">
        <v>211</v>
      </c>
      <c r="N12" t="s">
        <v>211</v>
      </c>
    </row>
    <row r="13" spans="1:20" x14ac:dyDescent="0.35">
      <c r="A13" s="19" t="s">
        <v>43</v>
      </c>
      <c r="B13" s="8" t="s">
        <v>44</v>
      </c>
      <c r="C13" s="13" t="s">
        <v>45</v>
      </c>
      <c r="D13" t="s">
        <v>46</v>
      </c>
      <c r="E13" t="s">
        <v>10</v>
      </c>
      <c r="F13" t="s">
        <v>9</v>
      </c>
      <c r="G13" s="22" t="s">
        <v>217</v>
      </c>
      <c r="H13" s="16" t="s">
        <v>211</v>
      </c>
      <c r="I13" s="4" t="s">
        <v>209</v>
      </c>
      <c r="J13" s="4" t="s">
        <v>209</v>
      </c>
      <c r="K13" s="9" t="s">
        <v>209</v>
      </c>
      <c r="L13" t="s">
        <v>209</v>
      </c>
      <c r="M13" t="s">
        <v>209</v>
      </c>
      <c r="N13" t="s">
        <v>209</v>
      </c>
    </row>
    <row r="14" spans="1:20" x14ac:dyDescent="0.35">
      <c r="A14" s="19" t="s">
        <v>26</v>
      </c>
      <c r="B14" s="8" t="s">
        <v>276</v>
      </c>
      <c r="C14" s="13" t="s">
        <v>28</v>
      </c>
      <c r="D14" t="s">
        <v>23</v>
      </c>
      <c r="E14" t="s">
        <v>25</v>
      </c>
      <c r="F14" t="s">
        <v>24</v>
      </c>
      <c r="G14" s="22" t="s">
        <v>218</v>
      </c>
      <c r="H14" s="16" t="s">
        <v>211</v>
      </c>
      <c r="I14" s="4" t="s">
        <v>209</v>
      </c>
      <c r="J14" s="4" t="s">
        <v>209</v>
      </c>
      <c r="K14" s="9" t="s">
        <v>209</v>
      </c>
      <c r="L14" t="s">
        <v>211</v>
      </c>
      <c r="M14" t="s">
        <v>211</v>
      </c>
      <c r="N14" t="s">
        <v>209</v>
      </c>
    </row>
    <row r="15" spans="1:20" x14ac:dyDescent="0.35">
      <c r="A15" s="19" t="s">
        <v>93</v>
      </c>
      <c r="B15" s="8" t="s">
        <v>94</v>
      </c>
      <c r="C15" s="13" t="s">
        <v>95</v>
      </c>
      <c r="D15" t="s">
        <v>96</v>
      </c>
      <c r="E15" t="s">
        <v>10</v>
      </c>
      <c r="F15" t="s">
        <v>9</v>
      </c>
      <c r="G15" s="22" t="s">
        <v>217</v>
      </c>
      <c r="H15" s="16" t="s">
        <v>211</v>
      </c>
      <c r="I15" s="4" t="s">
        <v>211</v>
      </c>
      <c r="J15" s="4" t="s">
        <v>209</v>
      </c>
      <c r="K15" s="9" t="s">
        <v>209</v>
      </c>
      <c r="L15" t="s">
        <v>211</v>
      </c>
      <c r="M15" t="s">
        <v>211</v>
      </c>
      <c r="N15" t="s">
        <v>209</v>
      </c>
    </row>
    <row r="16" spans="1:20" x14ac:dyDescent="0.35">
      <c r="A16" s="19" t="s">
        <v>97</v>
      </c>
      <c r="B16" s="8" t="s">
        <v>98</v>
      </c>
      <c r="C16" s="13" t="s">
        <v>95</v>
      </c>
      <c r="D16" t="s">
        <v>96</v>
      </c>
      <c r="E16" t="s">
        <v>10</v>
      </c>
      <c r="F16" t="s">
        <v>9</v>
      </c>
      <c r="G16" s="22" t="s">
        <v>217</v>
      </c>
      <c r="H16" s="16" t="s">
        <v>211</v>
      </c>
      <c r="I16" s="4" t="s">
        <v>211</v>
      </c>
      <c r="J16" s="4" t="s">
        <v>209</v>
      </c>
      <c r="K16" s="9" t="s">
        <v>209</v>
      </c>
      <c r="L16" t="s">
        <v>211</v>
      </c>
      <c r="M16" t="s">
        <v>211</v>
      </c>
      <c r="N16" t="s">
        <v>209</v>
      </c>
    </row>
    <row r="17" spans="1:14" x14ac:dyDescent="0.35">
      <c r="A17" s="19" t="s">
        <v>47</v>
      </c>
      <c r="B17" s="19" t="s">
        <v>47</v>
      </c>
      <c r="C17" s="13" t="s">
        <v>48</v>
      </c>
      <c r="D17" t="s">
        <v>49</v>
      </c>
      <c r="E17" t="s">
        <v>10</v>
      </c>
      <c r="F17" t="s">
        <v>9</v>
      </c>
      <c r="G17" s="22" t="s">
        <v>218</v>
      </c>
      <c r="H17" s="16" t="s">
        <v>209</v>
      </c>
      <c r="I17" s="4" t="s">
        <v>209</v>
      </c>
      <c r="J17" s="4" t="s">
        <v>209</v>
      </c>
      <c r="K17" s="9" t="s">
        <v>209</v>
      </c>
      <c r="L17" t="s">
        <v>209</v>
      </c>
      <c r="M17" t="s">
        <v>209</v>
      </c>
      <c r="N17" t="s">
        <v>209</v>
      </c>
    </row>
    <row r="18" spans="1:14" x14ac:dyDescent="0.35">
      <c r="A18" s="19" t="s">
        <v>50</v>
      </c>
      <c r="B18" s="8" t="s">
        <v>286</v>
      </c>
      <c r="C18" s="13" t="s">
        <v>48</v>
      </c>
      <c r="D18" t="s">
        <v>49</v>
      </c>
      <c r="E18" t="s">
        <v>10</v>
      </c>
      <c r="F18" t="s">
        <v>9</v>
      </c>
      <c r="G18" s="22" t="s">
        <v>218</v>
      </c>
      <c r="H18" s="16" t="s">
        <v>256</v>
      </c>
      <c r="I18" s="4" t="s">
        <v>209</v>
      </c>
      <c r="J18" s="4" t="s">
        <v>209</v>
      </c>
      <c r="K18" s="9" t="s">
        <v>209</v>
      </c>
      <c r="L18" t="s">
        <v>209</v>
      </c>
      <c r="M18" t="s">
        <v>209</v>
      </c>
      <c r="N18" t="s">
        <v>209</v>
      </c>
    </row>
    <row r="19" spans="1:14" x14ac:dyDescent="0.35">
      <c r="A19" s="19" t="s">
        <v>51</v>
      </c>
      <c r="B19" s="8" t="s">
        <v>51</v>
      </c>
      <c r="C19" s="13" t="s">
        <v>48</v>
      </c>
      <c r="D19" t="s">
        <v>49</v>
      </c>
      <c r="E19" t="s">
        <v>10</v>
      </c>
      <c r="F19" t="s">
        <v>9</v>
      </c>
      <c r="G19" s="22" t="s">
        <v>218</v>
      </c>
      <c r="H19" s="16" t="s">
        <v>209</v>
      </c>
      <c r="I19" s="4" t="s">
        <v>209</v>
      </c>
      <c r="J19" s="4" t="s">
        <v>209</v>
      </c>
      <c r="K19" s="9" t="s">
        <v>209</v>
      </c>
      <c r="L19" t="s">
        <v>209</v>
      </c>
      <c r="M19" t="s">
        <v>209</v>
      </c>
      <c r="N19" t="s">
        <v>209</v>
      </c>
    </row>
    <row r="20" spans="1:14" x14ac:dyDescent="0.35">
      <c r="A20" s="19" t="s">
        <v>53</v>
      </c>
      <c r="B20" s="8" t="s">
        <v>289</v>
      </c>
      <c r="C20" s="13" t="s">
        <v>48</v>
      </c>
      <c r="D20" t="s">
        <v>49</v>
      </c>
      <c r="E20" t="s">
        <v>10</v>
      </c>
      <c r="F20" t="s">
        <v>9</v>
      </c>
      <c r="G20" s="22" t="s">
        <v>218</v>
      </c>
      <c r="H20" s="16" t="s">
        <v>211</v>
      </c>
      <c r="I20" s="4" t="s">
        <v>209</v>
      </c>
      <c r="J20" s="4" t="s">
        <v>209</v>
      </c>
      <c r="K20" s="9" t="s">
        <v>209</v>
      </c>
      <c r="L20" t="s">
        <v>209</v>
      </c>
      <c r="M20" t="s">
        <v>209</v>
      </c>
      <c r="N20" t="s">
        <v>209</v>
      </c>
    </row>
    <row r="21" spans="1:14" x14ac:dyDescent="0.35">
      <c r="A21" s="19" t="s">
        <v>52</v>
      </c>
      <c r="B21" s="8" t="s">
        <v>287</v>
      </c>
      <c r="C21" s="13" t="s">
        <v>48</v>
      </c>
      <c r="D21" t="s">
        <v>49</v>
      </c>
      <c r="E21" t="s">
        <v>10</v>
      </c>
      <c r="F21" t="s">
        <v>9</v>
      </c>
      <c r="G21" s="22" t="s">
        <v>218</v>
      </c>
      <c r="H21" s="16" t="s">
        <v>211</v>
      </c>
      <c r="I21" s="4" t="s">
        <v>209</v>
      </c>
      <c r="J21" s="4" t="s">
        <v>209</v>
      </c>
      <c r="K21" s="9" t="s">
        <v>209</v>
      </c>
      <c r="L21" t="s">
        <v>209</v>
      </c>
      <c r="M21" t="s">
        <v>209</v>
      </c>
      <c r="N21" t="s">
        <v>209</v>
      </c>
    </row>
    <row r="22" spans="1:14" x14ac:dyDescent="0.35">
      <c r="A22" s="19" t="s">
        <v>54</v>
      </c>
      <c r="B22" s="8" t="s">
        <v>290</v>
      </c>
      <c r="C22" s="13" t="s">
        <v>48</v>
      </c>
      <c r="D22" t="s">
        <v>49</v>
      </c>
      <c r="E22" t="s">
        <v>10</v>
      </c>
      <c r="F22" t="s">
        <v>9</v>
      </c>
      <c r="G22" s="22" t="s">
        <v>218</v>
      </c>
      <c r="H22" s="16" t="s">
        <v>211</v>
      </c>
      <c r="I22" s="4" t="s">
        <v>209</v>
      </c>
      <c r="J22" s="4" t="s">
        <v>209</v>
      </c>
      <c r="K22" s="9" t="s">
        <v>209</v>
      </c>
      <c r="L22" t="s">
        <v>209</v>
      </c>
      <c r="M22" t="s">
        <v>209</v>
      </c>
      <c r="N22" t="s">
        <v>209</v>
      </c>
    </row>
    <row r="23" spans="1:14" x14ac:dyDescent="0.35">
      <c r="A23" s="19" t="s">
        <v>55</v>
      </c>
      <c r="B23" s="8" t="s">
        <v>288</v>
      </c>
      <c r="C23" s="13" t="s">
        <v>48</v>
      </c>
      <c r="D23" t="s">
        <v>49</v>
      </c>
      <c r="E23" t="s">
        <v>10</v>
      </c>
      <c r="F23" t="s">
        <v>9</v>
      </c>
      <c r="G23" s="22" t="s">
        <v>218</v>
      </c>
      <c r="H23" s="16" t="s">
        <v>211</v>
      </c>
      <c r="I23" s="4" t="s">
        <v>209</v>
      </c>
      <c r="J23" s="4" t="s">
        <v>209</v>
      </c>
      <c r="K23" s="9" t="s">
        <v>209</v>
      </c>
      <c r="L23" t="s">
        <v>209</v>
      </c>
      <c r="M23" t="s">
        <v>209</v>
      </c>
      <c r="N23" t="s">
        <v>209</v>
      </c>
    </row>
    <row r="24" spans="1:14" x14ac:dyDescent="0.35">
      <c r="A24" s="19" t="s">
        <v>59</v>
      </c>
      <c r="B24" s="8" t="s">
        <v>60</v>
      </c>
      <c r="C24" s="13" t="s">
        <v>61</v>
      </c>
      <c r="D24" t="s">
        <v>62</v>
      </c>
      <c r="E24" t="s">
        <v>10</v>
      </c>
      <c r="F24" t="s">
        <v>9</v>
      </c>
      <c r="G24" s="22" t="s">
        <v>217</v>
      </c>
      <c r="H24" s="16" t="s">
        <v>211</v>
      </c>
      <c r="I24" s="4" t="s">
        <v>211</v>
      </c>
      <c r="J24" s="4" t="s">
        <v>209</v>
      </c>
      <c r="K24" s="9" t="s">
        <v>209</v>
      </c>
      <c r="L24" t="s">
        <v>211</v>
      </c>
      <c r="M24" t="s">
        <v>211</v>
      </c>
      <c r="N24" t="s">
        <v>209</v>
      </c>
    </row>
    <row r="25" spans="1:14" x14ac:dyDescent="0.35">
      <c r="A25" s="19" t="s">
        <v>198</v>
      </c>
      <c r="B25" s="8" t="s">
        <v>199</v>
      </c>
      <c r="C25" s="13" t="s">
        <v>200</v>
      </c>
      <c r="E25" t="s">
        <v>10</v>
      </c>
      <c r="F25" t="s">
        <v>9</v>
      </c>
      <c r="G25" s="22" t="s">
        <v>217</v>
      </c>
      <c r="H25" s="16" t="s">
        <v>211</v>
      </c>
      <c r="I25" s="4" t="s">
        <v>211</v>
      </c>
      <c r="J25" s="4"/>
      <c r="K25" s="9" t="s">
        <v>209</v>
      </c>
      <c r="L25" t="s">
        <v>211</v>
      </c>
      <c r="N25" t="s">
        <v>209</v>
      </c>
    </row>
    <row r="26" spans="1:14" x14ac:dyDescent="0.35">
      <c r="A26" s="19" t="s">
        <v>29</v>
      </c>
      <c r="B26" s="8" t="s">
        <v>30</v>
      </c>
      <c r="C26" s="13" t="s">
        <v>31</v>
      </c>
      <c r="D26" t="s">
        <v>32</v>
      </c>
      <c r="E26" t="s">
        <v>33</v>
      </c>
      <c r="F26" t="s">
        <v>9</v>
      </c>
      <c r="G26" s="22" t="s">
        <v>217</v>
      </c>
      <c r="H26" s="16" t="s">
        <v>211</v>
      </c>
      <c r="I26" s="4" t="s">
        <v>211</v>
      </c>
      <c r="J26" s="4" t="s">
        <v>211</v>
      </c>
      <c r="K26" s="9" t="s">
        <v>209</v>
      </c>
      <c r="L26" t="s">
        <v>211</v>
      </c>
      <c r="M26" t="s">
        <v>211</v>
      </c>
      <c r="N26" t="s">
        <v>211</v>
      </c>
    </row>
    <row r="27" spans="1:14" x14ac:dyDescent="0.35">
      <c r="A27" s="19" t="s">
        <v>201</v>
      </c>
      <c r="B27" s="8" t="s">
        <v>202</v>
      </c>
      <c r="C27" s="13" t="s">
        <v>203</v>
      </c>
      <c r="E27" t="s">
        <v>186</v>
      </c>
      <c r="F27" t="s">
        <v>9</v>
      </c>
      <c r="G27" s="22" t="s">
        <v>217</v>
      </c>
      <c r="H27" s="16" t="s">
        <v>211</v>
      </c>
      <c r="I27" s="4" t="s">
        <v>211</v>
      </c>
      <c r="J27" s="4"/>
      <c r="K27" s="9" t="s">
        <v>209</v>
      </c>
      <c r="L27" t="s">
        <v>211</v>
      </c>
      <c r="N27" t="s">
        <v>209</v>
      </c>
    </row>
    <row r="28" spans="1:14" x14ac:dyDescent="0.35">
      <c r="A28" s="19" t="s">
        <v>6</v>
      </c>
      <c r="B28" s="8" t="s">
        <v>7</v>
      </c>
      <c r="C28" s="13" t="s">
        <v>8</v>
      </c>
      <c r="D28" t="s">
        <v>227</v>
      </c>
      <c r="E28" t="s">
        <v>10</v>
      </c>
      <c r="F28" t="s">
        <v>9</v>
      </c>
      <c r="G28" s="22" t="s">
        <v>217</v>
      </c>
      <c r="H28" s="16" t="s">
        <v>211</v>
      </c>
      <c r="I28" s="4" t="s">
        <v>211</v>
      </c>
      <c r="J28" s="4" t="s">
        <v>209</v>
      </c>
      <c r="K28" s="9" t="s">
        <v>209</v>
      </c>
      <c r="L28" t="s">
        <v>211</v>
      </c>
      <c r="M28" t="s">
        <v>209</v>
      </c>
      <c r="N28" t="s">
        <v>209</v>
      </c>
    </row>
    <row r="29" spans="1:14" x14ac:dyDescent="0.35">
      <c r="A29" s="19" t="s">
        <v>132</v>
      </c>
      <c r="B29" s="8" t="s">
        <v>133</v>
      </c>
      <c r="C29" s="13" t="s">
        <v>134</v>
      </c>
      <c r="D29" t="s">
        <v>135</v>
      </c>
      <c r="E29" t="s">
        <v>33</v>
      </c>
      <c r="F29" t="s">
        <v>9</v>
      </c>
      <c r="G29" s="22" t="s">
        <v>217</v>
      </c>
      <c r="H29" s="16" t="s">
        <v>209</v>
      </c>
      <c r="I29" s="4" t="s">
        <v>209</v>
      </c>
      <c r="J29" s="4" t="s">
        <v>209</v>
      </c>
      <c r="K29" s="9" t="s">
        <v>209</v>
      </c>
      <c r="L29" t="s">
        <v>211</v>
      </c>
      <c r="M29" t="s">
        <v>211</v>
      </c>
      <c r="N29" t="s">
        <v>211</v>
      </c>
    </row>
    <row r="30" spans="1:14" x14ac:dyDescent="0.35">
      <c r="A30" s="19" t="s">
        <v>70</v>
      </c>
      <c r="B30" s="8" t="s">
        <v>295</v>
      </c>
      <c r="C30" s="13" t="s">
        <v>71</v>
      </c>
      <c r="D30" t="s">
        <v>72</v>
      </c>
      <c r="E30" t="s">
        <v>10</v>
      </c>
      <c r="F30" t="s">
        <v>9</v>
      </c>
      <c r="G30" s="22" t="s">
        <v>217</v>
      </c>
      <c r="H30" s="16" t="s">
        <v>211</v>
      </c>
      <c r="I30" s="4" t="s">
        <v>209</v>
      </c>
      <c r="J30" s="4" t="s">
        <v>209</v>
      </c>
      <c r="K30" s="9" t="s">
        <v>209</v>
      </c>
      <c r="L30" t="s">
        <v>209</v>
      </c>
      <c r="M30" t="s">
        <v>209</v>
      </c>
      <c r="N30" t="s">
        <v>209</v>
      </c>
    </row>
    <row r="31" spans="1:14" x14ac:dyDescent="0.35">
      <c r="A31" s="19" t="s">
        <v>187</v>
      </c>
      <c r="B31" s="8" t="s">
        <v>277</v>
      </c>
      <c r="C31" s="13" t="s">
        <v>188</v>
      </c>
      <c r="D31" t="s">
        <v>189</v>
      </c>
      <c r="E31" t="s">
        <v>33</v>
      </c>
      <c r="F31" t="s">
        <v>9</v>
      </c>
      <c r="G31" s="22" t="s">
        <v>217</v>
      </c>
      <c r="H31" s="16" t="s">
        <v>211</v>
      </c>
      <c r="I31" s="4" t="s">
        <v>211</v>
      </c>
      <c r="J31" s="4" t="s">
        <v>209</v>
      </c>
      <c r="K31" s="9" t="s">
        <v>209</v>
      </c>
      <c r="L31" t="s">
        <v>211</v>
      </c>
      <c r="M31" t="s">
        <v>211</v>
      </c>
      <c r="N31" t="s">
        <v>211</v>
      </c>
    </row>
    <row r="32" spans="1:14" x14ac:dyDescent="0.35">
      <c r="A32" s="19" t="s">
        <v>141</v>
      </c>
      <c r="B32" s="8" t="s">
        <v>278</v>
      </c>
      <c r="C32" s="13" t="s">
        <v>142</v>
      </c>
      <c r="D32" t="s">
        <v>143</v>
      </c>
      <c r="E32" t="s">
        <v>10</v>
      </c>
      <c r="F32" t="s">
        <v>9</v>
      </c>
      <c r="G32" s="22" t="s">
        <v>217</v>
      </c>
      <c r="H32" s="16" t="s">
        <v>211</v>
      </c>
      <c r="I32" s="4" t="s">
        <v>209</v>
      </c>
      <c r="J32" s="4" t="s">
        <v>209</v>
      </c>
      <c r="K32" s="9" t="s">
        <v>209</v>
      </c>
      <c r="L32" t="s">
        <v>211</v>
      </c>
      <c r="M32" t="s">
        <v>211</v>
      </c>
      <c r="N32" t="s">
        <v>209</v>
      </c>
    </row>
    <row r="33" spans="1:14" x14ac:dyDescent="0.35">
      <c r="A33" s="19" t="s">
        <v>73</v>
      </c>
      <c r="B33" s="8" t="s">
        <v>74</v>
      </c>
      <c r="C33" s="13" t="s">
        <v>75</v>
      </c>
      <c r="D33" t="s">
        <v>76</v>
      </c>
      <c r="E33" t="s">
        <v>10</v>
      </c>
      <c r="F33" t="s">
        <v>9</v>
      </c>
      <c r="G33" s="22" t="s">
        <v>217</v>
      </c>
      <c r="H33" s="16" t="s">
        <v>211</v>
      </c>
      <c r="I33" s="4" t="s">
        <v>209</v>
      </c>
      <c r="J33" s="4" t="s">
        <v>209</v>
      </c>
      <c r="K33" s="9" t="s">
        <v>209</v>
      </c>
      <c r="L33" t="s">
        <v>211</v>
      </c>
      <c r="M33" t="s">
        <v>209</v>
      </c>
      <c r="N33" t="s">
        <v>209</v>
      </c>
    </row>
    <row r="34" spans="1:14" x14ac:dyDescent="0.35">
      <c r="A34" s="19" t="s">
        <v>77</v>
      </c>
      <c r="B34" s="8" t="s">
        <v>78</v>
      </c>
      <c r="C34" s="13" t="s">
        <v>252</v>
      </c>
      <c r="D34" t="s">
        <v>76</v>
      </c>
      <c r="E34" t="s">
        <v>10</v>
      </c>
      <c r="F34" t="s">
        <v>9</v>
      </c>
      <c r="G34" s="22" t="s">
        <v>217</v>
      </c>
      <c r="H34" s="16" t="s">
        <v>257</v>
      </c>
      <c r="I34" s="4" t="s">
        <v>256</v>
      </c>
      <c r="J34" s="4" t="s">
        <v>209</v>
      </c>
      <c r="K34" s="9" t="s">
        <v>209</v>
      </c>
      <c r="L34" t="s">
        <v>259</v>
      </c>
      <c r="M34" t="s">
        <v>209</v>
      </c>
      <c r="N34" t="s">
        <v>209</v>
      </c>
    </row>
    <row r="35" spans="1:14" x14ac:dyDescent="0.35">
      <c r="A35" s="19" t="s">
        <v>63</v>
      </c>
      <c r="B35" s="8" t="s">
        <v>64</v>
      </c>
      <c r="C35" s="13" t="s">
        <v>65</v>
      </c>
      <c r="D35" t="s">
        <v>62</v>
      </c>
      <c r="E35" t="s">
        <v>10</v>
      </c>
      <c r="F35" t="s">
        <v>9</v>
      </c>
      <c r="G35" s="22" t="s">
        <v>217</v>
      </c>
      <c r="H35" s="16" t="s">
        <v>211</v>
      </c>
      <c r="I35" s="4" t="s">
        <v>209</v>
      </c>
      <c r="J35" s="4" t="s">
        <v>209</v>
      </c>
      <c r="K35" s="9" t="s">
        <v>209</v>
      </c>
      <c r="L35" t="s">
        <v>211</v>
      </c>
      <c r="M35" t="s">
        <v>211</v>
      </c>
      <c r="N35" t="s">
        <v>209</v>
      </c>
    </row>
    <row r="36" spans="1:14" x14ac:dyDescent="0.35">
      <c r="A36" s="19" t="s">
        <v>82</v>
      </c>
      <c r="B36" s="8" t="s">
        <v>83</v>
      </c>
      <c r="C36" s="13" t="s">
        <v>84</v>
      </c>
      <c r="D36" t="s">
        <v>85</v>
      </c>
      <c r="E36" t="s">
        <v>10</v>
      </c>
      <c r="F36" t="s">
        <v>9</v>
      </c>
      <c r="G36" s="22" t="s">
        <v>217</v>
      </c>
      <c r="H36" s="16" t="s">
        <v>211</v>
      </c>
      <c r="I36" s="4" t="s">
        <v>211</v>
      </c>
      <c r="J36" s="4" t="s">
        <v>211</v>
      </c>
      <c r="K36" s="9" t="s">
        <v>209</v>
      </c>
      <c r="L36" t="s">
        <v>211</v>
      </c>
      <c r="M36" t="s">
        <v>211</v>
      </c>
      <c r="N36" t="s">
        <v>209</v>
      </c>
    </row>
    <row r="37" spans="1:14" x14ac:dyDescent="0.35">
      <c r="A37" s="19" t="s">
        <v>107</v>
      </c>
      <c r="B37" s="8" t="s">
        <v>103</v>
      </c>
      <c r="C37" s="13" t="s">
        <v>104</v>
      </c>
      <c r="D37" t="s">
        <v>105</v>
      </c>
      <c r="E37" t="s">
        <v>10</v>
      </c>
      <c r="F37" t="s">
        <v>9</v>
      </c>
      <c r="G37" s="22" t="s">
        <v>218</v>
      </c>
      <c r="H37" s="16" t="s">
        <v>209</v>
      </c>
      <c r="I37" s="4" t="s">
        <v>209</v>
      </c>
      <c r="J37" s="4" t="s">
        <v>209</v>
      </c>
      <c r="K37" s="9" t="s">
        <v>209</v>
      </c>
      <c r="L37" t="s">
        <v>209</v>
      </c>
      <c r="M37" t="s">
        <v>209</v>
      </c>
      <c r="N37" t="s">
        <v>209</v>
      </c>
    </row>
    <row r="38" spans="1:14" x14ac:dyDescent="0.35">
      <c r="A38" s="19" t="s">
        <v>102</v>
      </c>
      <c r="B38" s="8" t="s">
        <v>103</v>
      </c>
      <c r="C38" s="13" t="s">
        <v>104</v>
      </c>
      <c r="D38" t="s">
        <v>105</v>
      </c>
      <c r="E38" t="s">
        <v>10</v>
      </c>
      <c r="F38" t="s">
        <v>9</v>
      </c>
      <c r="G38" s="22" t="s">
        <v>218</v>
      </c>
      <c r="H38" s="16" t="s">
        <v>209</v>
      </c>
      <c r="I38" s="4" t="s">
        <v>209</v>
      </c>
      <c r="J38" s="4" t="s">
        <v>209</v>
      </c>
      <c r="K38" s="9" t="s">
        <v>209</v>
      </c>
      <c r="L38" t="s">
        <v>209</v>
      </c>
      <c r="M38" t="s">
        <v>209</v>
      </c>
      <c r="N38" t="s">
        <v>209</v>
      </c>
    </row>
    <row r="39" spans="1:14" x14ac:dyDescent="0.35">
      <c r="A39" s="19" t="s">
        <v>106</v>
      </c>
      <c r="B39" s="8" t="s">
        <v>103</v>
      </c>
      <c r="C39" s="13" t="s">
        <v>104</v>
      </c>
      <c r="D39" t="s">
        <v>105</v>
      </c>
      <c r="E39" t="s">
        <v>10</v>
      </c>
      <c r="F39" t="s">
        <v>9</v>
      </c>
      <c r="G39" s="22" t="s">
        <v>218</v>
      </c>
      <c r="H39" s="16" t="s">
        <v>209</v>
      </c>
      <c r="I39" s="4" t="s">
        <v>209</v>
      </c>
      <c r="J39" s="4" t="s">
        <v>209</v>
      </c>
      <c r="K39" s="9" t="s">
        <v>209</v>
      </c>
      <c r="L39" t="s">
        <v>209</v>
      </c>
      <c r="M39" t="s">
        <v>209</v>
      </c>
      <c r="N39" t="s">
        <v>209</v>
      </c>
    </row>
    <row r="40" spans="1:14" x14ac:dyDescent="0.35">
      <c r="A40" s="19" t="s">
        <v>86</v>
      </c>
      <c r="B40" s="8" t="s">
        <v>296</v>
      </c>
      <c r="C40" s="13" t="s">
        <v>87</v>
      </c>
      <c r="D40" t="s">
        <v>88</v>
      </c>
      <c r="E40" t="s">
        <v>20</v>
      </c>
      <c r="F40" t="s">
        <v>19</v>
      </c>
      <c r="G40" s="22" t="s">
        <v>217</v>
      </c>
      <c r="H40" s="16" t="s">
        <v>211</v>
      </c>
      <c r="I40" s="4" t="s">
        <v>211</v>
      </c>
      <c r="J40" s="4" t="s">
        <v>211</v>
      </c>
      <c r="K40" s="9" t="s">
        <v>211</v>
      </c>
      <c r="L40" t="s">
        <v>211</v>
      </c>
      <c r="M40" t="s">
        <v>211</v>
      </c>
      <c r="N40" t="s">
        <v>211</v>
      </c>
    </row>
    <row r="41" spans="1:14" x14ac:dyDescent="0.35">
      <c r="A41" s="19" t="s">
        <v>66</v>
      </c>
      <c r="B41" s="8" t="s">
        <v>279</v>
      </c>
      <c r="C41" s="13" t="s">
        <v>67</v>
      </c>
      <c r="D41" t="s">
        <v>68</v>
      </c>
      <c r="E41" t="s">
        <v>10</v>
      </c>
      <c r="F41" t="s">
        <v>9</v>
      </c>
      <c r="G41" s="22" t="s">
        <v>217</v>
      </c>
      <c r="H41" s="16" t="s">
        <v>209</v>
      </c>
      <c r="I41" s="4" t="s">
        <v>209</v>
      </c>
      <c r="J41" s="4" t="s">
        <v>209</v>
      </c>
      <c r="K41" s="9" t="s">
        <v>209</v>
      </c>
      <c r="L41" t="s">
        <v>211</v>
      </c>
      <c r="M41" t="s">
        <v>209</v>
      </c>
      <c r="N41" t="s">
        <v>209</v>
      </c>
    </row>
    <row r="42" spans="1:14" x14ac:dyDescent="0.35">
      <c r="A42" s="19" t="s">
        <v>69</v>
      </c>
      <c r="B42" s="8" t="s">
        <v>280</v>
      </c>
      <c r="C42" s="13" t="s">
        <v>67</v>
      </c>
      <c r="D42" t="s">
        <v>68</v>
      </c>
      <c r="E42" t="s">
        <v>10</v>
      </c>
      <c r="F42" t="s">
        <v>9</v>
      </c>
      <c r="G42" s="22" t="s">
        <v>217</v>
      </c>
      <c r="H42" s="16" t="s">
        <v>211</v>
      </c>
      <c r="I42" s="4" t="s">
        <v>209</v>
      </c>
      <c r="J42" s="4" t="s">
        <v>209</v>
      </c>
      <c r="K42" s="9" t="s">
        <v>209</v>
      </c>
      <c r="L42" t="s">
        <v>211</v>
      </c>
      <c r="M42" t="s">
        <v>209</v>
      </c>
      <c r="N42" t="s">
        <v>209</v>
      </c>
    </row>
    <row r="43" spans="1:14" x14ac:dyDescent="0.35">
      <c r="A43" s="19" t="s">
        <v>163</v>
      </c>
      <c r="B43" s="8" t="s">
        <v>163</v>
      </c>
      <c r="C43" s="13" t="s">
        <v>164</v>
      </c>
      <c r="D43" t="s">
        <v>162</v>
      </c>
      <c r="E43" t="s">
        <v>25</v>
      </c>
      <c r="F43" t="s">
        <v>24</v>
      </c>
      <c r="G43" s="22" t="s">
        <v>218</v>
      </c>
      <c r="H43" s="16" t="s">
        <v>209</v>
      </c>
      <c r="I43" s="4" t="s">
        <v>209</v>
      </c>
      <c r="J43" s="4" t="s">
        <v>209</v>
      </c>
      <c r="K43" s="9" t="s">
        <v>209</v>
      </c>
      <c r="L43" t="s">
        <v>211</v>
      </c>
      <c r="M43" t="s">
        <v>209</v>
      </c>
      <c r="N43" t="s">
        <v>209</v>
      </c>
    </row>
    <row r="44" spans="1:14" x14ac:dyDescent="0.35">
      <c r="A44" s="19" t="s">
        <v>15</v>
      </c>
      <c r="B44" s="8" t="s">
        <v>16</v>
      </c>
      <c r="C44" s="13" t="s">
        <v>17</v>
      </c>
      <c r="D44" t="s">
        <v>18</v>
      </c>
      <c r="E44" t="s">
        <v>20</v>
      </c>
      <c r="F44" t="s">
        <v>19</v>
      </c>
      <c r="G44" s="22" t="s">
        <v>217</v>
      </c>
      <c r="H44" s="16" t="s">
        <v>211</v>
      </c>
      <c r="I44" s="4" t="s">
        <v>211</v>
      </c>
      <c r="J44" s="4" t="s">
        <v>211</v>
      </c>
      <c r="K44" s="9" t="s">
        <v>211</v>
      </c>
      <c r="L44" t="s">
        <v>211</v>
      </c>
      <c r="M44" t="s">
        <v>211</v>
      </c>
      <c r="N44" t="s">
        <v>211</v>
      </c>
    </row>
    <row r="45" spans="1:14" x14ac:dyDescent="0.35">
      <c r="A45" s="19" t="s">
        <v>89</v>
      </c>
      <c r="B45" s="8" t="s">
        <v>90</v>
      </c>
      <c r="C45" s="13" t="s">
        <v>91</v>
      </c>
      <c r="D45" t="s">
        <v>92</v>
      </c>
      <c r="E45" t="s">
        <v>10</v>
      </c>
      <c r="F45" t="s">
        <v>9</v>
      </c>
      <c r="G45" s="22" t="s">
        <v>217</v>
      </c>
      <c r="H45" s="16" t="s">
        <v>211</v>
      </c>
      <c r="I45" s="4" t="s">
        <v>209</v>
      </c>
      <c r="J45" s="4" t="s">
        <v>209</v>
      </c>
      <c r="K45" s="9" t="s">
        <v>209</v>
      </c>
      <c r="L45" t="s">
        <v>211</v>
      </c>
      <c r="M45" t="s">
        <v>211</v>
      </c>
      <c r="N45" t="s">
        <v>209</v>
      </c>
    </row>
    <row r="46" spans="1:14" x14ac:dyDescent="0.35">
      <c r="A46" s="19" t="s">
        <v>108</v>
      </c>
      <c r="B46" s="8" t="s">
        <v>109</v>
      </c>
      <c r="C46" s="13" t="s">
        <v>110</v>
      </c>
      <c r="D46" t="s">
        <v>105</v>
      </c>
      <c r="E46" t="s">
        <v>10</v>
      </c>
      <c r="F46" t="s">
        <v>9</v>
      </c>
      <c r="G46" s="22" t="s">
        <v>217</v>
      </c>
      <c r="H46" s="16" t="s">
        <v>211</v>
      </c>
      <c r="I46" s="4" t="s">
        <v>211</v>
      </c>
      <c r="J46" s="4" t="s">
        <v>209</v>
      </c>
      <c r="K46" s="9" t="s">
        <v>209</v>
      </c>
      <c r="L46" t="s">
        <v>211</v>
      </c>
      <c r="M46" t="s">
        <v>209</v>
      </c>
      <c r="N46" t="s">
        <v>209</v>
      </c>
    </row>
    <row r="47" spans="1:14" x14ac:dyDescent="0.35">
      <c r="A47" s="19" t="s">
        <v>56</v>
      </c>
      <c r="B47" s="8" t="s">
        <v>56</v>
      </c>
      <c r="C47" s="13" t="s">
        <v>57</v>
      </c>
      <c r="D47" t="s">
        <v>49</v>
      </c>
      <c r="E47" t="s">
        <v>10</v>
      </c>
      <c r="F47" t="s">
        <v>9</v>
      </c>
      <c r="G47" s="22" t="s">
        <v>218</v>
      </c>
      <c r="H47" s="16" t="s">
        <v>209</v>
      </c>
      <c r="I47" s="4" t="s">
        <v>209</v>
      </c>
      <c r="J47" s="4" t="s">
        <v>209</v>
      </c>
      <c r="K47" s="9" t="s">
        <v>209</v>
      </c>
      <c r="L47" t="s">
        <v>209</v>
      </c>
      <c r="M47" t="s">
        <v>209</v>
      </c>
      <c r="N47" t="s">
        <v>209</v>
      </c>
    </row>
    <row r="48" spans="1:14" x14ac:dyDescent="0.35">
      <c r="A48" s="19" t="s">
        <v>58</v>
      </c>
      <c r="B48" s="8" t="s">
        <v>58</v>
      </c>
      <c r="C48" s="13" t="s">
        <v>253</v>
      </c>
      <c r="D48" t="s">
        <v>49</v>
      </c>
      <c r="E48" t="s">
        <v>10</v>
      </c>
      <c r="F48" t="s">
        <v>9</v>
      </c>
      <c r="G48" s="22" t="s">
        <v>218</v>
      </c>
      <c r="H48" s="16" t="s">
        <v>257</v>
      </c>
      <c r="I48" s="4" t="s">
        <v>256</v>
      </c>
      <c r="J48" s="4" t="s">
        <v>209</v>
      </c>
      <c r="K48" s="9" t="s">
        <v>209</v>
      </c>
      <c r="L48" t="s">
        <v>256</v>
      </c>
      <c r="M48" t="s">
        <v>209</v>
      </c>
      <c r="N48" t="s">
        <v>209</v>
      </c>
    </row>
    <row r="49" spans="1:14" x14ac:dyDescent="0.35">
      <c r="A49" s="19" t="s">
        <v>99</v>
      </c>
      <c r="B49" s="8" t="s">
        <v>100</v>
      </c>
      <c r="C49" s="13" t="s">
        <v>101</v>
      </c>
      <c r="D49" t="s">
        <v>96</v>
      </c>
      <c r="E49" t="s">
        <v>10</v>
      </c>
      <c r="F49" t="s">
        <v>9</v>
      </c>
      <c r="G49" s="22" t="s">
        <v>217</v>
      </c>
      <c r="H49" s="16" t="s">
        <v>211</v>
      </c>
      <c r="I49" s="4" t="s">
        <v>211</v>
      </c>
      <c r="J49" s="4" t="s">
        <v>209</v>
      </c>
      <c r="K49" s="9" t="s">
        <v>209</v>
      </c>
      <c r="L49" t="s">
        <v>211</v>
      </c>
      <c r="M49" t="s">
        <v>211</v>
      </c>
      <c r="N49" t="s">
        <v>209</v>
      </c>
    </row>
    <row r="50" spans="1:14" x14ac:dyDescent="0.35">
      <c r="A50" s="19" t="s">
        <v>111</v>
      </c>
      <c r="B50" s="8" t="s">
        <v>281</v>
      </c>
      <c r="C50" s="13" t="s">
        <v>112</v>
      </c>
      <c r="D50" t="s">
        <v>105</v>
      </c>
      <c r="E50" t="s">
        <v>10</v>
      </c>
      <c r="F50" t="s">
        <v>9</v>
      </c>
      <c r="G50" s="22" t="s">
        <v>218</v>
      </c>
      <c r="H50" s="16" t="s">
        <v>209</v>
      </c>
      <c r="I50" s="4" t="s">
        <v>209</v>
      </c>
      <c r="J50" s="4" t="s">
        <v>209</v>
      </c>
      <c r="K50" s="9" t="s">
        <v>209</v>
      </c>
      <c r="L50" t="s">
        <v>209</v>
      </c>
      <c r="M50" t="s">
        <v>209</v>
      </c>
      <c r="N50" t="s">
        <v>209</v>
      </c>
    </row>
    <row r="51" spans="1:14" x14ac:dyDescent="0.35">
      <c r="A51" s="19" t="s">
        <v>113</v>
      </c>
      <c r="B51" s="8" t="s">
        <v>282</v>
      </c>
      <c r="C51" s="13" t="s">
        <v>114</v>
      </c>
      <c r="D51" t="s">
        <v>105</v>
      </c>
      <c r="E51" t="s">
        <v>10</v>
      </c>
      <c r="F51" t="s">
        <v>9</v>
      </c>
      <c r="G51" s="22" t="s">
        <v>218</v>
      </c>
      <c r="H51" s="16" t="s">
        <v>209</v>
      </c>
      <c r="I51" s="4" t="s">
        <v>209</v>
      </c>
      <c r="J51" s="4" t="s">
        <v>209</v>
      </c>
      <c r="K51" s="9" t="s">
        <v>209</v>
      </c>
      <c r="L51" t="s">
        <v>209</v>
      </c>
      <c r="M51" t="s">
        <v>209</v>
      </c>
      <c r="N51" t="s">
        <v>209</v>
      </c>
    </row>
    <row r="52" spans="1:14" x14ac:dyDescent="0.35">
      <c r="A52" s="19" t="s">
        <v>115</v>
      </c>
      <c r="B52" s="8" t="s">
        <v>115</v>
      </c>
      <c r="C52" s="13" t="s">
        <v>114</v>
      </c>
      <c r="D52" t="s">
        <v>105</v>
      </c>
      <c r="E52" t="s">
        <v>10</v>
      </c>
      <c r="F52" t="s">
        <v>9</v>
      </c>
      <c r="G52" s="22" t="s">
        <v>218</v>
      </c>
      <c r="H52" s="16" t="s">
        <v>209</v>
      </c>
      <c r="I52" s="4" t="s">
        <v>209</v>
      </c>
      <c r="J52" s="4" t="s">
        <v>209</v>
      </c>
      <c r="K52" s="9" t="s">
        <v>209</v>
      </c>
      <c r="L52" t="s">
        <v>209</v>
      </c>
      <c r="M52" t="s">
        <v>209</v>
      </c>
      <c r="N52" t="s">
        <v>209</v>
      </c>
    </row>
    <row r="53" spans="1:14" x14ac:dyDescent="0.35">
      <c r="A53" s="19" t="s">
        <v>116</v>
      </c>
      <c r="B53" s="8" t="s">
        <v>116</v>
      </c>
      <c r="C53" s="13" t="s">
        <v>114</v>
      </c>
      <c r="D53" t="s">
        <v>105</v>
      </c>
      <c r="E53" t="s">
        <v>10</v>
      </c>
      <c r="F53" t="s">
        <v>9</v>
      </c>
      <c r="G53" s="22" t="s">
        <v>218</v>
      </c>
      <c r="H53" s="16" t="s">
        <v>211</v>
      </c>
      <c r="I53" s="4" t="s">
        <v>209</v>
      </c>
      <c r="J53" s="4" t="s">
        <v>209</v>
      </c>
      <c r="K53" s="9" t="s">
        <v>209</v>
      </c>
      <c r="L53" t="s">
        <v>209</v>
      </c>
      <c r="M53" t="s">
        <v>209</v>
      </c>
      <c r="N53" t="s">
        <v>209</v>
      </c>
    </row>
    <row r="54" spans="1:14" x14ac:dyDescent="0.35">
      <c r="A54" s="19" t="s">
        <v>117</v>
      </c>
      <c r="B54" s="8" t="s">
        <v>118</v>
      </c>
      <c r="C54" s="13" t="s">
        <v>114</v>
      </c>
      <c r="D54" t="s">
        <v>105</v>
      </c>
      <c r="E54" t="s">
        <v>10</v>
      </c>
      <c r="F54" t="s">
        <v>9</v>
      </c>
      <c r="G54" s="22" t="s">
        <v>218</v>
      </c>
      <c r="H54" s="16" t="s">
        <v>211</v>
      </c>
      <c r="I54" s="4" t="s">
        <v>209</v>
      </c>
      <c r="J54" s="4" t="s">
        <v>209</v>
      </c>
      <c r="K54" s="9" t="s">
        <v>209</v>
      </c>
      <c r="L54" t="s">
        <v>209</v>
      </c>
      <c r="M54" t="s">
        <v>209</v>
      </c>
      <c r="N54" t="s">
        <v>209</v>
      </c>
    </row>
    <row r="55" spans="1:14" x14ac:dyDescent="0.35">
      <c r="A55" s="19" t="s">
        <v>119</v>
      </c>
      <c r="B55" s="8" t="s">
        <v>120</v>
      </c>
      <c r="C55" s="13" t="s">
        <v>121</v>
      </c>
      <c r="D55" t="s">
        <v>105</v>
      </c>
      <c r="E55" t="s">
        <v>10</v>
      </c>
      <c r="F55" t="s">
        <v>9</v>
      </c>
      <c r="G55" s="22" t="s">
        <v>218</v>
      </c>
      <c r="H55" s="16" t="s">
        <v>211</v>
      </c>
      <c r="I55" s="4" t="s">
        <v>209</v>
      </c>
      <c r="J55" s="4" t="s">
        <v>209</v>
      </c>
      <c r="K55" s="9" t="s">
        <v>209</v>
      </c>
      <c r="L55" t="s">
        <v>211</v>
      </c>
      <c r="M55" t="s">
        <v>209</v>
      </c>
      <c r="N55" t="s">
        <v>209</v>
      </c>
    </row>
    <row r="56" spans="1:14" x14ac:dyDescent="0.35">
      <c r="A56" s="19" t="s">
        <v>79</v>
      </c>
      <c r="B56" s="8" t="s">
        <v>79</v>
      </c>
      <c r="C56" s="13" t="s">
        <v>80</v>
      </c>
      <c r="D56" t="s">
        <v>81</v>
      </c>
      <c r="E56" t="s">
        <v>10</v>
      </c>
      <c r="F56" t="s">
        <v>9</v>
      </c>
      <c r="G56" s="22" t="s">
        <v>217</v>
      </c>
      <c r="H56" s="16" t="s">
        <v>211</v>
      </c>
      <c r="I56" s="4" t="s">
        <v>211</v>
      </c>
      <c r="J56" s="4" t="s">
        <v>209</v>
      </c>
      <c r="K56" s="9" t="s">
        <v>209</v>
      </c>
      <c r="L56" t="s">
        <v>211</v>
      </c>
      <c r="M56" t="s">
        <v>211</v>
      </c>
      <c r="N56" t="s">
        <v>209</v>
      </c>
    </row>
    <row r="57" spans="1:14" x14ac:dyDescent="0.35">
      <c r="A57" s="19" t="s">
        <v>11</v>
      </c>
      <c r="B57" s="8" t="s">
        <v>12</v>
      </c>
      <c r="C57" s="13" t="s">
        <v>13</v>
      </c>
      <c r="D57" t="s">
        <v>14</v>
      </c>
      <c r="E57" t="s">
        <v>10</v>
      </c>
      <c r="F57" t="s">
        <v>9</v>
      </c>
      <c r="G57" s="22" t="s">
        <v>217</v>
      </c>
      <c r="H57" s="16" t="s">
        <v>211</v>
      </c>
      <c r="I57" s="4" t="s">
        <v>209</v>
      </c>
      <c r="J57" s="4" t="s">
        <v>209</v>
      </c>
      <c r="K57" s="9" t="s">
        <v>209</v>
      </c>
      <c r="L57" t="s">
        <v>211</v>
      </c>
      <c r="M57" t="s">
        <v>211</v>
      </c>
      <c r="N57" t="s">
        <v>209</v>
      </c>
    </row>
    <row r="58" spans="1:14" x14ac:dyDescent="0.35">
      <c r="A58" s="19" t="s">
        <v>165</v>
      </c>
      <c r="B58" s="8" t="s">
        <v>165</v>
      </c>
      <c r="C58" s="13" t="s">
        <v>166</v>
      </c>
      <c r="D58" t="s">
        <v>162</v>
      </c>
      <c r="E58" t="s">
        <v>25</v>
      </c>
      <c r="F58" t="s">
        <v>24</v>
      </c>
      <c r="G58" s="22" t="s">
        <v>218</v>
      </c>
      <c r="H58" s="16" t="s">
        <v>211</v>
      </c>
      <c r="I58" s="4" t="s">
        <v>209</v>
      </c>
      <c r="J58" s="4" t="s">
        <v>209</v>
      </c>
      <c r="K58" s="9" t="s">
        <v>209</v>
      </c>
      <c r="L58" t="s">
        <v>209</v>
      </c>
      <c r="M58" t="s">
        <v>209</v>
      </c>
      <c r="N58" t="s">
        <v>209</v>
      </c>
    </row>
    <row r="59" spans="1:14" x14ac:dyDescent="0.35">
      <c r="A59" s="19" t="s">
        <v>128</v>
      </c>
      <c r="B59" s="8" t="s">
        <v>294</v>
      </c>
      <c r="C59" s="13" t="s">
        <v>254</v>
      </c>
      <c r="D59" t="s">
        <v>127</v>
      </c>
      <c r="E59" t="s">
        <v>25</v>
      </c>
      <c r="F59" t="s">
        <v>24</v>
      </c>
      <c r="G59" s="22" t="s">
        <v>218</v>
      </c>
      <c r="H59" s="16" t="s">
        <v>209</v>
      </c>
      <c r="I59" s="4" t="s">
        <v>256</v>
      </c>
      <c r="J59" s="4" t="s">
        <v>209</v>
      </c>
      <c r="K59" s="9" t="s">
        <v>209</v>
      </c>
      <c r="L59" t="s">
        <v>258</v>
      </c>
      <c r="M59" t="s">
        <v>209</v>
      </c>
      <c r="N59" t="s">
        <v>209</v>
      </c>
    </row>
    <row r="60" spans="1:14" x14ac:dyDescent="0.35">
      <c r="A60" s="19" t="s">
        <v>125</v>
      </c>
      <c r="B60" s="8" t="s">
        <v>293</v>
      </c>
      <c r="C60" s="13" t="s">
        <v>126</v>
      </c>
      <c r="D60" t="s">
        <v>127</v>
      </c>
      <c r="E60" t="s">
        <v>25</v>
      </c>
      <c r="F60" t="s">
        <v>24</v>
      </c>
      <c r="G60" s="22" t="s">
        <v>218</v>
      </c>
      <c r="H60" s="16" t="s">
        <v>211</v>
      </c>
      <c r="I60" s="4" t="s">
        <v>209</v>
      </c>
      <c r="J60" s="4" t="s">
        <v>209</v>
      </c>
      <c r="K60" s="9" t="s">
        <v>209</v>
      </c>
      <c r="L60" t="s">
        <v>209</v>
      </c>
      <c r="M60" t="s">
        <v>209</v>
      </c>
      <c r="N60" t="s">
        <v>209</v>
      </c>
    </row>
    <row r="61" spans="1:14" x14ac:dyDescent="0.35">
      <c r="A61" s="19" t="s">
        <v>129</v>
      </c>
      <c r="B61" s="8" t="s">
        <v>283</v>
      </c>
      <c r="C61" s="13" t="s">
        <v>130</v>
      </c>
      <c r="D61" t="s">
        <v>131</v>
      </c>
      <c r="E61" t="s">
        <v>10</v>
      </c>
      <c r="F61" t="s">
        <v>9</v>
      </c>
      <c r="G61" s="22" t="s">
        <v>217</v>
      </c>
      <c r="H61" s="16" t="s">
        <v>211</v>
      </c>
      <c r="I61" s="4" t="s">
        <v>209</v>
      </c>
      <c r="J61" s="4" t="s">
        <v>209</v>
      </c>
      <c r="K61" s="9" t="s">
        <v>209</v>
      </c>
      <c r="L61" t="s">
        <v>211</v>
      </c>
      <c r="M61" t="s">
        <v>211</v>
      </c>
      <c r="N61" t="s">
        <v>209</v>
      </c>
    </row>
    <row r="62" spans="1:14" x14ac:dyDescent="0.35">
      <c r="A62" s="19" t="s">
        <v>122</v>
      </c>
      <c r="B62" s="8" t="s">
        <v>123</v>
      </c>
      <c r="C62" s="13" t="s">
        <v>124</v>
      </c>
      <c r="D62" t="s">
        <v>105</v>
      </c>
      <c r="E62" t="s">
        <v>10</v>
      </c>
      <c r="F62" t="s">
        <v>9</v>
      </c>
      <c r="G62" s="22" t="s">
        <v>217</v>
      </c>
      <c r="H62" s="16" t="s">
        <v>211</v>
      </c>
      <c r="I62" s="4" t="s">
        <v>211</v>
      </c>
      <c r="J62" s="4" t="s">
        <v>209</v>
      </c>
      <c r="K62" s="9" t="s">
        <v>209</v>
      </c>
      <c r="L62" t="s">
        <v>211</v>
      </c>
      <c r="M62" t="s">
        <v>209</v>
      </c>
      <c r="N62" t="s">
        <v>209</v>
      </c>
    </row>
    <row r="63" spans="1:14" x14ac:dyDescent="0.35">
      <c r="A63" s="19" t="s">
        <v>136</v>
      </c>
      <c r="B63" s="8" t="s">
        <v>137</v>
      </c>
      <c r="C63" s="13" t="s">
        <v>138</v>
      </c>
      <c r="D63" t="s">
        <v>139</v>
      </c>
      <c r="E63" t="s">
        <v>140</v>
      </c>
      <c r="F63" t="s">
        <v>19</v>
      </c>
      <c r="G63" s="22" t="s">
        <v>217</v>
      </c>
      <c r="H63" s="16" t="s">
        <v>211</v>
      </c>
      <c r="I63" s="4" t="s">
        <v>211</v>
      </c>
      <c r="J63" s="4" t="s">
        <v>211</v>
      </c>
      <c r="K63" s="9" t="s">
        <v>211</v>
      </c>
      <c r="L63" t="s">
        <v>211</v>
      </c>
      <c r="M63" t="s">
        <v>211</v>
      </c>
      <c r="N63" t="s">
        <v>211</v>
      </c>
    </row>
    <row r="64" spans="1:14" x14ac:dyDescent="0.35">
      <c r="A64" s="19" t="s">
        <v>153</v>
      </c>
      <c r="B64" s="8" t="s">
        <v>154</v>
      </c>
      <c r="C64" s="13" t="s">
        <v>155</v>
      </c>
      <c r="D64" t="s">
        <v>156</v>
      </c>
      <c r="E64" t="s">
        <v>157</v>
      </c>
      <c r="F64" t="s">
        <v>19</v>
      </c>
      <c r="G64" s="22" t="s">
        <v>217</v>
      </c>
      <c r="H64" s="16" t="s">
        <v>211</v>
      </c>
      <c r="I64" s="4" t="s">
        <v>211</v>
      </c>
      <c r="J64" s="4" t="s">
        <v>211</v>
      </c>
      <c r="K64" s="9" t="s">
        <v>211</v>
      </c>
      <c r="L64" t="s">
        <v>211</v>
      </c>
      <c r="M64" t="s">
        <v>211</v>
      </c>
      <c r="N64" t="s">
        <v>211</v>
      </c>
    </row>
    <row r="65" spans="1:14" x14ac:dyDescent="0.35">
      <c r="A65" s="19" t="s">
        <v>158</v>
      </c>
      <c r="B65" s="8" t="s">
        <v>159</v>
      </c>
      <c r="C65" s="13" t="s">
        <v>155</v>
      </c>
      <c r="D65" t="s">
        <v>156</v>
      </c>
      <c r="E65" t="s">
        <v>157</v>
      </c>
      <c r="F65" t="s">
        <v>19</v>
      </c>
      <c r="G65" s="22" t="s">
        <v>217</v>
      </c>
      <c r="H65" s="16" t="s">
        <v>211</v>
      </c>
      <c r="I65" s="4" t="s">
        <v>211</v>
      </c>
      <c r="J65" s="4" t="s">
        <v>211</v>
      </c>
      <c r="K65" s="9" t="s">
        <v>211</v>
      </c>
      <c r="L65" t="s">
        <v>211</v>
      </c>
      <c r="M65" t="s">
        <v>211</v>
      </c>
      <c r="N65" t="s">
        <v>211</v>
      </c>
    </row>
    <row r="66" spans="1:14" x14ac:dyDescent="0.35">
      <c r="A66" s="19" t="s">
        <v>144</v>
      </c>
      <c r="B66" s="8" t="s">
        <v>145</v>
      </c>
      <c r="C66" s="13" t="s">
        <v>146</v>
      </c>
      <c r="D66" t="s">
        <v>147</v>
      </c>
      <c r="E66" t="s">
        <v>10</v>
      </c>
      <c r="F66" t="s">
        <v>9</v>
      </c>
      <c r="G66" s="22" t="s">
        <v>217</v>
      </c>
      <c r="H66" s="16" t="s">
        <v>211</v>
      </c>
      <c r="I66" s="4" t="s">
        <v>211</v>
      </c>
      <c r="J66" s="4" t="s">
        <v>211</v>
      </c>
      <c r="K66" s="9" t="s">
        <v>209</v>
      </c>
      <c r="L66" t="s">
        <v>211</v>
      </c>
      <c r="M66" t="s">
        <v>211</v>
      </c>
      <c r="N66" t="s">
        <v>209</v>
      </c>
    </row>
    <row r="67" spans="1:14" x14ac:dyDescent="0.35">
      <c r="A67" s="19" t="s">
        <v>148</v>
      </c>
      <c r="B67" s="8" t="s">
        <v>149</v>
      </c>
      <c r="C67" s="13" t="s">
        <v>150</v>
      </c>
      <c r="D67" t="s">
        <v>151</v>
      </c>
      <c r="E67" t="s">
        <v>10</v>
      </c>
      <c r="F67" t="s">
        <v>9</v>
      </c>
      <c r="G67" s="22" t="s">
        <v>217</v>
      </c>
      <c r="H67" s="16" t="s">
        <v>211</v>
      </c>
      <c r="I67" s="4" t="s">
        <v>209</v>
      </c>
      <c r="J67" s="4" t="s">
        <v>209</v>
      </c>
      <c r="K67" s="9" t="s">
        <v>209</v>
      </c>
      <c r="L67" t="s">
        <v>209</v>
      </c>
      <c r="M67" t="s">
        <v>209</v>
      </c>
      <c r="N67" t="s">
        <v>209</v>
      </c>
    </row>
    <row r="68" spans="1:14" x14ac:dyDescent="0.35">
      <c r="A68" s="19" t="s">
        <v>152</v>
      </c>
      <c r="B68" s="8" t="s">
        <v>284</v>
      </c>
      <c r="C68" s="13" t="s">
        <v>150</v>
      </c>
      <c r="D68" t="s">
        <v>151</v>
      </c>
      <c r="E68" t="s">
        <v>10</v>
      </c>
      <c r="F68" t="s">
        <v>9</v>
      </c>
      <c r="G68" s="22" t="s">
        <v>217</v>
      </c>
      <c r="H68" s="16" t="s">
        <v>211</v>
      </c>
      <c r="I68" s="4" t="s">
        <v>209</v>
      </c>
      <c r="J68" s="4" t="s">
        <v>209</v>
      </c>
      <c r="K68" s="9" t="s">
        <v>209</v>
      </c>
      <c r="L68" t="s">
        <v>209</v>
      </c>
      <c r="M68" t="s">
        <v>209</v>
      </c>
      <c r="N68" t="s">
        <v>209</v>
      </c>
    </row>
    <row r="69" spans="1:14" x14ac:dyDescent="0.35">
      <c r="A69" s="19" t="s">
        <v>167</v>
      </c>
      <c r="B69" s="8" t="s">
        <v>291</v>
      </c>
      <c r="C69" s="13" t="s">
        <v>168</v>
      </c>
      <c r="D69" t="s">
        <v>162</v>
      </c>
      <c r="E69" t="s">
        <v>25</v>
      </c>
      <c r="F69" t="s">
        <v>24</v>
      </c>
      <c r="G69" s="22" t="s">
        <v>218</v>
      </c>
      <c r="H69" s="16" t="s">
        <v>211</v>
      </c>
      <c r="I69" s="4" t="s">
        <v>209</v>
      </c>
      <c r="J69" s="4" t="s">
        <v>209</v>
      </c>
      <c r="K69" s="9" t="s">
        <v>209</v>
      </c>
      <c r="L69" t="s">
        <v>209</v>
      </c>
      <c r="M69" t="s">
        <v>209</v>
      </c>
      <c r="N69" t="s">
        <v>209</v>
      </c>
    </row>
    <row r="70" spans="1:14" x14ac:dyDescent="0.35">
      <c r="A70" s="19" t="s">
        <v>169</v>
      </c>
      <c r="B70" s="8" t="s">
        <v>292</v>
      </c>
      <c r="C70" s="13" t="s">
        <v>168</v>
      </c>
      <c r="D70" t="s">
        <v>162</v>
      </c>
      <c r="E70" t="s">
        <v>25</v>
      </c>
      <c r="F70" t="s">
        <v>24</v>
      </c>
      <c r="G70" s="22" t="s">
        <v>218</v>
      </c>
      <c r="H70" s="16" t="s">
        <v>211</v>
      </c>
      <c r="I70" s="4" t="s">
        <v>209</v>
      </c>
      <c r="J70" s="4" t="s">
        <v>209</v>
      </c>
      <c r="K70" s="9" t="s">
        <v>209</v>
      </c>
      <c r="L70" t="s">
        <v>209</v>
      </c>
      <c r="M70" t="s">
        <v>209</v>
      </c>
      <c r="N70" t="s">
        <v>209</v>
      </c>
    </row>
    <row r="71" spans="1:14" x14ac:dyDescent="0.35">
      <c r="A71" s="19" t="s">
        <v>170</v>
      </c>
      <c r="B71" s="8" t="s">
        <v>171</v>
      </c>
      <c r="C71" s="13" t="s">
        <v>172</v>
      </c>
      <c r="D71" t="s">
        <v>173</v>
      </c>
      <c r="E71" t="s">
        <v>33</v>
      </c>
      <c r="F71" t="s">
        <v>9</v>
      </c>
      <c r="G71" s="22" t="s">
        <v>217</v>
      </c>
      <c r="H71" s="16" t="s">
        <v>211</v>
      </c>
      <c r="I71" s="4" t="s">
        <v>211</v>
      </c>
      <c r="J71" s="4" t="s">
        <v>209</v>
      </c>
      <c r="K71" s="9" t="s">
        <v>209</v>
      </c>
      <c r="L71" t="s">
        <v>211</v>
      </c>
      <c r="M71" t="s">
        <v>211</v>
      </c>
      <c r="N71" t="s">
        <v>211</v>
      </c>
    </row>
    <row r="72" spans="1:14" x14ac:dyDescent="0.35">
      <c r="A72" s="19" t="s">
        <v>174</v>
      </c>
      <c r="B72" s="8" t="s">
        <v>175</v>
      </c>
      <c r="C72" s="13" t="s">
        <v>176</v>
      </c>
      <c r="D72" t="s">
        <v>177</v>
      </c>
      <c r="E72" t="s">
        <v>10</v>
      </c>
      <c r="F72" t="s">
        <v>9</v>
      </c>
      <c r="G72" s="22" t="s">
        <v>217</v>
      </c>
      <c r="H72" s="16" t="s">
        <v>211</v>
      </c>
      <c r="I72" s="4" t="s">
        <v>211</v>
      </c>
      <c r="J72" s="4" t="s">
        <v>209</v>
      </c>
      <c r="K72" s="9" t="s">
        <v>209</v>
      </c>
      <c r="L72" t="s">
        <v>211</v>
      </c>
      <c r="M72" t="s">
        <v>211</v>
      </c>
      <c r="N72" t="s">
        <v>209</v>
      </c>
    </row>
    <row r="73" spans="1:14" x14ac:dyDescent="0.35">
      <c r="A73" s="19" t="s">
        <v>182</v>
      </c>
      <c r="B73" s="8" t="s">
        <v>183</v>
      </c>
      <c r="C73" s="13" t="s">
        <v>184</v>
      </c>
      <c r="D73" t="s">
        <v>185</v>
      </c>
      <c r="E73" t="s">
        <v>186</v>
      </c>
      <c r="F73" t="s">
        <v>9</v>
      </c>
      <c r="G73" s="22" t="s">
        <v>217</v>
      </c>
      <c r="H73" s="16" t="s">
        <v>211</v>
      </c>
      <c r="I73" s="4" t="s">
        <v>209</v>
      </c>
      <c r="J73" s="4" t="s">
        <v>209</v>
      </c>
      <c r="K73" s="9" t="s">
        <v>209</v>
      </c>
      <c r="L73" t="s">
        <v>209</v>
      </c>
      <c r="M73" t="s">
        <v>209</v>
      </c>
      <c r="N73" t="s">
        <v>209</v>
      </c>
    </row>
    <row r="74" spans="1:14" x14ac:dyDescent="0.35">
      <c r="A74" s="19" t="s">
        <v>193</v>
      </c>
      <c r="B74" s="8" t="s">
        <v>193</v>
      </c>
      <c r="C74" s="13" t="s">
        <v>255</v>
      </c>
      <c r="D74" t="s">
        <v>194</v>
      </c>
      <c r="E74" t="s">
        <v>10</v>
      </c>
      <c r="F74" t="s">
        <v>9</v>
      </c>
      <c r="G74" s="22" t="s">
        <v>217</v>
      </c>
      <c r="H74" s="16" t="s">
        <v>211</v>
      </c>
      <c r="I74" s="4" t="s">
        <v>257</v>
      </c>
      <c r="J74" s="4" t="s">
        <v>209</v>
      </c>
      <c r="K74" s="9" t="s">
        <v>209</v>
      </c>
      <c r="L74" t="s">
        <v>259</v>
      </c>
      <c r="M74" t="s">
        <v>211</v>
      </c>
      <c r="N74" t="s">
        <v>209</v>
      </c>
    </row>
    <row r="75" spans="1:14" ht="15" thickBot="1" x14ac:dyDescent="0.4">
      <c r="A75" s="20" t="s">
        <v>190</v>
      </c>
      <c r="B75" s="10" t="s">
        <v>191</v>
      </c>
      <c r="C75" s="14" t="s">
        <v>192</v>
      </c>
      <c r="D75" t="s">
        <v>189</v>
      </c>
      <c r="E75" t="s">
        <v>33</v>
      </c>
      <c r="F75" t="s">
        <v>9</v>
      </c>
      <c r="G75" s="22" t="s">
        <v>217</v>
      </c>
      <c r="H75" s="17" t="s">
        <v>211</v>
      </c>
      <c r="I75" s="11" t="s">
        <v>209</v>
      </c>
      <c r="J75" s="11" t="s">
        <v>209</v>
      </c>
      <c r="K75" s="9" t="s">
        <v>209</v>
      </c>
      <c r="L75" t="s">
        <v>211</v>
      </c>
      <c r="M75" t="s">
        <v>211</v>
      </c>
      <c r="N75" t="s">
        <v>211</v>
      </c>
    </row>
    <row r="78" spans="1:14" x14ac:dyDescent="0.35">
      <c r="D78">
        <f>COUNTA(_xlfn.UNIQUE(D3:D75))</f>
        <v>34</v>
      </c>
      <c r="E78">
        <f>[1]Sheet2!$I$71</f>
        <v>3</v>
      </c>
      <c r="F78">
        <f>COUNTA(_xlfn.UNIQUE(F3:F75))</f>
        <v>3</v>
      </c>
    </row>
  </sheetData>
  <mergeCells count="3">
    <mergeCell ref="A1:E1"/>
    <mergeCell ref="H1:K1"/>
    <mergeCell ref="L1:N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D32E-60AE-4307-A3A7-9396330A6F91}">
  <dimension ref="A1:H7"/>
  <sheetViews>
    <sheetView workbookViewId="0">
      <selection activeCell="C10" sqref="C10"/>
    </sheetView>
  </sheetViews>
  <sheetFormatPr defaultRowHeight="14.5" x14ac:dyDescent="0.35"/>
  <cols>
    <col min="1" max="1" width="21.6328125" bestFit="1" customWidth="1"/>
  </cols>
  <sheetData>
    <row r="1" spans="1:8" x14ac:dyDescent="0.35">
      <c r="A1" t="s">
        <v>219</v>
      </c>
      <c r="B1" t="s">
        <v>223</v>
      </c>
      <c r="C1" t="s">
        <v>224</v>
      </c>
      <c r="D1" t="s">
        <v>225</v>
      </c>
      <c r="E1" t="s">
        <v>226</v>
      </c>
    </row>
    <row r="2" spans="1:8" x14ac:dyDescent="0.35">
      <c r="A2" t="s">
        <v>220</v>
      </c>
      <c r="B2">
        <v>77</v>
      </c>
      <c r="C2">
        <v>55</v>
      </c>
      <c r="D2">
        <v>34</v>
      </c>
      <c r="E2">
        <v>7</v>
      </c>
    </row>
    <row r="3" spans="1:8" x14ac:dyDescent="0.35">
      <c r="A3" t="s">
        <v>221</v>
      </c>
      <c r="B3">
        <f>421+58</f>
        <v>479</v>
      </c>
      <c r="C3">
        <f>159+25</f>
        <v>184</v>
      </c>
      <c r="D3">
        <f>70+13</f>
        <v>83</v>
      </c>
      <c r="E3">
        <f>10+3</f>
        <v>13</v>
      </c>
    </row>
    <row r="4" spans="1:8" x14ac:dyDescent="0.35">
      <c r="A4" t="s">
        <v>222</v>
      </c>
      <c r="B4">
        <v>109</v>
      </c>
      <c r="C4">
        <v>78</v>
      </c>
      <c r="D4">
        <v>47</v>
      </c>
      <c r="E4">
        <v>4</v>
      </c>
      <c r="H4" s="25"/>
    </row>
    <row r="5" spans="1:8" x14ac:dyDescent="0.35">
      <c r="A5" t="s">
        <v>285</v>
      </c>
      <c r="B5">
        <v>0</v>
      </c>
      <c r="C5">
        <v>0</v>
      </c>
      <c r="D5">
        <v>0</v>
      </c>
      <c r="E5">
        <v>0</v>
      </c>
      <c r="H5" s="25"/>
    </row>
    <row r="6" spans="1:8" x14ac:dyDescent="0.35">
      <c r="A6" t="s">
        <v>228</v>
      </c>
      <c r="B6">
        <v>20</v>
      </c>
      <c r="C6">
        <v>33</v>
      </c>
      <c r="D6">
        <v>26</v>
      </c>
      <c r="E6">
        <v>4</v>
      </c>
      <c r="H6" s="25"/>
    </row>
    <row r="7" spans="1:8" x14ac:dyDescent="0.35">
      <c r="A7" t="s">
        <v>229</v>
      </c>
      <c r="B7">
        <v>0</v>
      </c>
      <c r="C7">
        <v>14</v>
      </c>
      <c r="D7">
        <v>12</v>
      </c>
      <c r="E7">
        <v>3</v>
      </c>
      <c r="H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110F-2E70-41E8-9EF9-FD65743CD3DA}">
  <dimension ref="A1:L49"/>
  <sheetViews>
    <sheetView topLeftCell="A7" zoomScale="89" zoomScaleNormal="115" workbookViewId="0">
      <selection activeCell="D35" sqref="D35"/>
    </sheetView>
  </sheetViews>
  <sheetFormatPr defaultRowHeight="14.5" x14ac:dyDescent="0.35"/>
  <cols>
    <col min="2" max="2" width="14.453125" bestFit="1" customWidth="1"/>
    <col min="3" max="3" width="14.453125" customWidth="1"/>
    <col min="4" max="4" width="54.26953125" bestFit="1" customWidth="1"/>
    <col min="5" max="5" width="17.453125" customWidth="1"/>
    <col min="6" max="6" width="20.7265625" bestFit="1" customWidth="1"/>
    <col min="7" max="7" width="20.7265625" customWidth="1"/>
    <col min="8" max="8" width="17.26953125" bestFit="1" customWidth="1"/>
  </cols>
  <sheetData>
    <row r="1" spans="1:12" x14ac:dyDescent="0.35">
      <c r="A1" t="s">
        <v>208</v>
      </c>
      <c r="B1" s="24" t="s">
        <v>3</v>
      </c>
      <c r="C1" s="24" t="s">
        <v>2</v>
      </c>
      <c r="D1" s="23" t="s">
        <v>0</v>
      </c>
      <c r="E1" s="28" t="s">
        <v>271</v>
      </c>
      <c r="F1" t="s">
        <v>272</v>
      </c>
      <c r="G1" t="s">
        <v>275</v>
      </c>
      <c r="H1" t="s">
        <v>274</v>
      </c>
      <c r="J1" s="13"/>
      <c r="L1" s="13"/>
    </row>
    <row r="2" spans="1:12" x14ac:dyDescent="0.35">
      <c r="A2" t="s">
        <v>25</v>
      </c>
      <c r="B2" s="26" t="s">
        <v>23</v>
      </c>
      <c r="C2" s="26" t="str">
        <f t="shared" ref="C2:C49" si="0">LEFT(D2,FIND(" ",D2)-1)</f>
        <v>Alveolinella</v>
      </c>
      <c r="D2" s="29" t="s">
        <v>21</v>
      </c>
      <c r="E2" t="s">
        <v>251</v>
      </c>
      <c r="F2" t="s">
        <v>251</v>
      </c>
      <c r="G2" t="s">
        <v>251</v>
      </c>
      <c r="J2" s="13"/>
      <c r="L2" s="13"/>
    </row>
    <row r="3" spans="1:12" x14ac:dyDescent="0.35">
      <c r="A3" t="s">
        <v>25</v>
      </c>
      <c r="B3" s="26" t="s">
        <v>23</v>
      </c>
      <c r="C3" s="26" t="str">
        <f t="shared" si="0"/>
        <v>Borelis</v>
      </c>
      <c r="D3" s="29" t="s">
        <v>236</v>
      </c>
      <c r="F3" t="s">
        <v>251</v>
      </c>
      <c r="G3" t="s">
        <v>251</v>
      </c>
      <c r="J3" s="13"/>
      <c r="L3" s="13"/>
    </row>
    <row r="4" spans="1:12" x14ac:dyDescent="0.35">
      <c r="A4" t="s">
        <v>25</v>
      </c>
      <c r="B4" s="26" t="s">
        <v>23</v>
      </c>
      <c r="C4" s="34" t="str">
        <f t="shared" si="0"/>
        <v>Borelis</v>
      </c>
      <c r="D4" s="33" t="s">
        <v>27</v>
      </c>
      <c r="E4" t="s">
        <v>251</v>
      </c>
      <c r="G4" t="s">
        <v>251</v>
      </c>
      <c r="J4" s="13"/>
      <c r="L4" s="13"/>
    </row>
    <row r="5" spans="1:12" x14ac:dyDescent="0.35">
      <c r="A5" t="s">
        <v>10</v>
      </c>
      <c r="B5" s="26" t="s">
        <v>36</v>
      </c>
      <c r="C5" s="26" t="str">
        <f t="shared" si="0"/>
        <v>Amphistegina</v>
      </c>
      <c r="D5" s="29" t="s">
        <v>231</v>
      </c>
      <c r="F5" t="s">
        <v>251</v>
      </c>
      <c r="G5" t="s">
        <v>251</v>
      </c>
      <c r="H5" t="s">
        <v>251</v>
      </c>
      <c r="J5" s="13"/>
      <c r="L5" s="13"/>
    </row>
    <row r="6" spans="1:12" x14ac:dyDescent="0.35">
      <c r="A6" t="s">
        <v>10</v>
      </c>
      <c r="B6" s="26" t="s">
        <v>36</v>
      </c>
      <c r="C6" s="26" t="str">
        <f t="shared" si="0"/>
        <v>Amphistegina</v>
      </c>
      <c r="D6" s="29" t="s">
        <v>34</v>
      </c>
      <c r="E6" t="s">
        <v>251</v>
      </c>
      <c r="F6" t="s">
        <v>251</v>
      </c>
      <c r="G6" t="s">
        <v>251</v>
      </c>
      <c r="H6" t="s">
        <v>251</v>
      </c>
      <c r="J6" s="13"/>
      <c r="L6" s="13"/>
    </row>
    <row r="7" spans="1:12" x14ac:dyDescent="0.35">
      <c r="A7" t="s">
        <v>10</v>
      </c>
      <c r="B7" s="26" t="s">
        <v>36</v>
      </c>
      <c r="C7" s="26" t="str">
        <f t="shared" si="0"/>
        <v>Amphistegina</v>
      </c>
      <c r="D7" s="29" t="s">
        <v>38</v>
      </c>
      <c r="E7" t="s">
        <v>251</v>
      </c>
      <c r="F7" t="s">
        <v>251</v>
      </c>
      <c r="G7" t="s">
        <v>251</v>
      </c>
      <c r="H7" t="s">
        <v>251</v>
      </c>
      <c r="J7" s="13"/>
      <c r="L7" s="13"/>
    </row>
    <row r="8" spans="1:12" x14ac:dyDescent="0.35">
      <c r="A8" t="s">
        <v>10</v>
      </c>
      <c r="B8" s="26" t="s">
        <v>36</v>
      </c>
      <c r="C8" s="26" t="str">
        <f t="shared" si="0"/>
        <v>Amphistegina</v>
      </c>
      <c r="D8" s="29" t="s">
        <v>232</v>
      </c>
      <c r="F8" t="s">
        <v>251</v>
      </c>
      <c r="G8" t="s">
        <v>251</v>
      </c>
      <c r="H8" t="s">
        <v>251</v>
      </c>
      <c r="J8" s="13"/>
      <c r="L8" s="13"/>
    </row>
    <row r="9" spans="1:12" x14ac:dyDescent="0.35">
      <c r="A9" t="s">
        <v>10</v>
      </c>
      <c r="B9" s="26" t="s">
        <v>36</v>
      </c>
      <c r="C9" s="26" t="str">
        <f t="shared" si="0"/>
        <v>Amphistegina</v>
      </c>
      <c r="D9" s="29" t="s">
        <v>40</v>
      </c>
      <c r="E9" t="s">
        <v>251</v>
      </c>
      <c r="F9" t="s">
        <v>251</v>
      </c>
      <c r="G9" t="s">
        <v>251</v>
      </c>
      <c r="H9" t="s">
        <v>251</v>
      </c>
      <c r="J9" s="13"/>
      <c r="L9" s="13"/>
    </row>
    <row r="10" spans="1:12" x14ac:dyDescent="0.35">
      <c r="A10" t="s">
        <v>10</v>
      </c>
      <c r="B10" s="26" t="s">
        <v>36</v>
      </c>
      <c r="C10" s="26" t="str">
        <f t="shared" si="0"/>
        <v>Amphistegina</v>
      </c>
      <c r="D10" s="29" t="s">
        <v>42</v>
      </c>
      <c r="E10" t="s">
        <v>251</v>
      </c>
      <c r="F10" t="s">
        <v>251</v>
      </c>
      <c r="G10" t="s">
        <v>251</v>
      </c>
      <c r="H10" t="s">
        <v>251</v>
      </c>
      <c r="J10" s="13"/>
      <c r="L10" s="13"/>
    </row>
    <row r="11" spans="1:12" x14ac:dyDescent="0.35">
      <c r="A11" t="s">
        <v>10</v>
      </c>
      <c r="B11" s="26" t="s">
        <v>36</v>
      </c>
      <c r="C11" s="26" t="str">
        <f t="shared" si="0"/>
        <v>Amphistegina</v>
      </c>
      <c r="D11" s="29" t="s">
        <v>233</v>
      </c>
      <c r="F11" t="s">
        <v>251</v>
      </c>
      <c r="G11" t="s">
        <v>251</v>
      </c>
      <c r="H11" t="s">
        <v>251</v>
      </c>
      <c r="J11" s="13"/>
      <c r="L11" s="13"/>
    </row>
    <row r="12" spans="1:12" x14ac:dyDescent="0.35">
      <c r="A12" t="s">
        <v>10</v>
      </c>
      <c r="B12" s="26" t="s">
        <v>49</v>
      </c>
      <c r="C12" s="26" t="str">
        <f t="shared" si="0"/>
        <v>Baculogypsina</v>
      </c>
      <c r="D12" s="29" t="s">
        <v>234</v>
      </c>
      <c r="E12" t="s">
        <v>251</v>
      </c>
      <c r="F12" t="s">
        <v>251</v>
      </c>
      <c r="G12" t="s">
        <v>251</v>
      </c>
      <c r="H12" t="s">
        <v>251</v>
      </c>
      <c r="J12" s="13"/>
      <c r="L12" s="13"/>
    </row>
    <row r="13" spans="1:12" x14ac:dyDescent="0.35">
      <c r="A13" t="s">
        <v>10</v>
      </c>
      <c r="B13" s="26" t="s">
        <v>49</v>
      </c>
      <c r="C13" s="26" t="str">
        <f t="shared" si="0"/>
        <v>Baculogypsinoides</v>
      </c>
      <c r="D13" s="29" t="s">
        <v>235</v>
      </c>
      <c r="F13" t="s">
        <v>251</v>
      </c>
      <c r="G13" t="s">
        <v>251</v>
      </c>
      <c r="J13" s="13"/>
      <c r="L13" s="13"/>
    </row>
    <row r="14" spans="1:12" x14ac:dyDescent="0.35">
      <c r="A14" t="s">
        <v>10</v>
      </c>
      <c r="B14" s="26" t="s">
        <v>49</v>
      </c>
      <c r="C14" s="26" t="str">
        <f t="shared" si="0"/>
        <v>Calcarina</v>
      </c>
      <c r="D14" s="29" t="s">
        <v>273</v>
      </c>
      <c r="E14" t="s">
        <v>251</v>
      </c>
      <c r="F14" t="s">
        <v>251</v>
      </c>
      <c r="G14" t="s">
        <v>251</v>
      </c>
      <c r="H14" t="s">
        <v>251</v>
      </c>
      <c r="J14" s="13"/>
      <c r="L14" s="13"/>
    </row>
    <row r="15" spans="1:12" x14ac:dyDescent="0.35">
      <c r="A15" t="s">
        <v>10</v>
      </c>
      <c r="B15" s="26" t="s">
        <v>49</v>
      </c>
      <c r="C15" s="26" t="str">
        <f t="shared" si="0"/>
        <v>Calcarina</v>
      </c>
      <c r="D15" s="29" t="s">
        <v>237</v>
      </c>
      <c r="F15" t="s">
        <v>251</v>
      </c>
      <c r="G15" t="s">
        <v>251</v>
      </c>
      <c r="H15" t="s">
        <v>251</v>
      </c>
      <c r="J15" s="13"/>
      <c r="L15" s="13"/>
    </row>
    <row r="16" spans="1:12" x14ac:dyDescent="0.35">
      <c r="A16" t="s">
        <v>10</v>
      </c>
      <c r="B16" s="26" t="s">
        <v>49</v>
      </c>
      <c r="C16" s="34" t="str">
        <f t="shared" si="0"/>
        <v>Calcarina</v>
      </c>
      <c r="D16" s="30" t="s">
        <v>47</v>
      </c>
      <c r="E16" t="s">
        <v>251</v>
      </c>
      <c r="F16" t="s">
        <v>251</v>
      </c>
      <c r="G16" t="s">
        <v>251</v>
      </c>
      <c r="H16" t="s">
        <v>251</v>
      </c>
      <c r="J16" s="13"/>
      <c r="L16" s="13"/>
    </row>
    <row r="17" spans="1:12" x14ac:dyDescent="0.35">
      <c r="A17" t="s">
        <v>10</v>
      </c>
      <c r="B17" s="26" t="s">
        <v>49</v>
      </c>
      <c r="C17" s="26" t="str">
        <f t="shared" si="0"/>
        <v>Calcarina</v>
      </c>
      <c r="D17" s="29" t="s">
        <v>238</v>
      </c>
      <c r="F17" t="s">
        <v>251</v>
      </c>
      <c r="G17" t="s">
        <v>251</v>
      </c>
      <c r="H17" t="s">
        <v>251</v>
      </c>
      <c r="J17" s="13"/>
      <c r="L17" s="13"/>
    </row>
    <row r="18" spans="1:12" x14ac:dyDescent="0.35">
      <c r="A18" t="s">
        <v>10</v>
      </c>
      <c r="B18" s="26" t="s">
        <v>49</v>
      </c>
      <c r="C18" s="26" t="str">
        <f t="shared" si="0"/>
        <v>Calcarina</v>
      </c>
      <c r="D18" s="29" t="s">
        <v>263</v>
      </c>
      <c r="G18" t="s">
        <v>251</v>
      </c>
      <c r="H18" t="s">
        <v>251</v>
      </c>
      <c r="J18" s="13"/>
      <c r="L18" s="13"/>
    </row>
    <row r="19" spans="1:12" x14ac:dyDescent="0.35">
      <c r="A19" t="s">
        <v>10</v>
      </c>
      <c r="B19" s="26" t="s">
        <v>49</v>
      </c>
      <c r="C19" s="26" t="str">
        <f t="shared" si="0"/>
        <v>Calcarina</v>
      </c>
      <c r="D19" s="29" t="s">
        <v>264</v>
      </c>
      <c r="E19" t="s">
        <v>251</v>
      </c>
      <c r="F19" t="s">
        <v>251</v>
      </c>
      <c r="G19" t="s">
        <v>251</v>
      </c>
      <c r="H19" t="s">
        <v>251</v>
      </c>
      <c r="J19" s="13"/>
      <c r="L19" s="13"/>
    </row>
    <row r="20" spans="1:12" x14ac:dyDescent="0.35">
      <c r="A20" t="s">
        <v>10</v>
      </c>
      <c r="B20" s="26" t="s">
        <v>49</v>
      </c>
      <c r="C20" s="26" t="str">
        <f t="shared" si="0"/>
        <v>Neorotalia</v>
      </c>
      <c r="D20" s="29" t="s">
        <v>266</v>
      </c>
      <c r="E20" t="s">
        <v>251</v>
      </c>
      <c r="F20" t="s">
        <v>251</v>
      </c>
      <c r="G20" t="s">
        <v>251</v>
      </c>
      <c r="H20" t="s">
        <v>251</v>
      </c>
      <c r="J20" s="13"/>
      <c r="L20" s="13"/>
    </row>
    <row r="21" spans="1:12" x14ac:dyDescent="0.35">
      <c r="A21" t="s">
        <v>10</v>
      </c>
      <c r="B21" s="26" t="s">
        <v>49</v>
      </c>
      <c r="C21" s="26" t="str">
        <f t="shared" si="0"/>
        <v>Neorotalia</v>
      </c>
      <c r="D21" s="29" t="s">
        <v>260</v>
      </c>
      <c r="E21" t="s">
        <v>251</v>
      </c>
      <c r="G21" t="s">
        <v>251</v>
      </c>
      <c r="H21" t="s">
        <v>251</v>
      </c>
      <c r="J21" s="13"/>
      <c r="L21" s="13"/>
    </row>
    <row r="22" spans="1:12" x14ac:dyDescent="0.35">
      <c r="A22" t="s">
        <v>10</v>
      </c>
      <c r="B22" s="26" t="s">
        <v>105</v>
      </c>
      <c r="C22" s="26" t="str">
        <f t="shared" si="0"/>
        <v>Cycleoclypeus</v>
      </c>
      <c r="D22" s="29" t="s">
        <v>239</v>
      </c>
      <c r="F22" t="s">
        <v>251</v>
      </c>
      <c r="J22" s="13"/>
      <c r="L22" s="13"/>
    </row>
    <row r="23" spans="1:12" x14ac:dyDescent="0.35">
      <c r="A23" t="s">
        <v>10</v>
      </c>
      <c r="B23" s="26" t="s">
        <v>105</v>
      </c>
      <c r="C23" s="26" t="str">
        <f t="shared" si="0"/>
        <v>Heterostegina</v>
      </c>
      <c r="D23" s="29" t="s">
        <v>241</v>
      </c>
      <c r="E23" t="s">
        <v>251</v>
      </c>
      <c r="F23" t="s">
        <v>251</v>
      </c>
      <c r="G23" t="s">
        <v>251</v>
      </c>
      <c r="H23" t="s">
        <v>251</v>
      </c>
      <c r="J23" s="13"/>
      <c r="L23" s="13"/>
    </row>
    <row r="24" spans="1:12" x14ac:dyDescent="0.35">
      <c r="A24" t="s">
        <v>10</v>
      </c>
      <c r="B24" s="26" t="s">
        <v>105</v>
      </c>
      <c r="C24" s="26" t="str">
        <f t="shared" si="0"/>
        <v>Nummulites</v>
      </c>
      <c r="D24" s="29" t="s">
        <v>111</v>
      </c>
      <c r="E24" t="s">
        <v>251</v>
      </c>
      <c r="F24" t="s">
        <v>251</v>
      </c>
      <c r="G24" t="s">
        <v>251</v>
      </c>
      <c r="J24" s="13"/>
      <c r="L24" s="13"/>
    </row>
    <row r="25" spans="1:12" x14ac:dyDescent="0.35">
      <c r="A25" t="s">
        <v>10</v>
      </c>
      <c r="B25" s="26" t="s">
        <v>105</v>
      </c>
      <c r="C25" s="26" t="str">
        <f t="shared" si="0"/>
        <v>Operculina</v>
      </c>
      <c r="D25" s="29" t="s">
        <v>267</v>
      </c>
      <c r="E25" t="s">
        <v>251</v>
      </c>
      <c r="F25" t="s">
        <v>251</v>
      </c>
      <c r="G25" t="s">
        <v>251</v>
      </c>
      <c r="H25" t="s">
        <v>251</v>
      </c>
      <c r="J25" s="13"/>
      <c r="L25" s="13"/>
    </row>
    <row r="26" spans="1:12" x14ac:dyDescent="0.35">
      <c r="A26" t="s">
        <v>10</v>
      </c>
      <c r="B26" s="26" t="s">
        <v>105</v>
      </c>
      <c r="C26" s="26" t="str">
        <f t="shared" si="0"/>
        <v>Operculina</v>
      </c>
      <c r="D26" s="29" t="s">
        <v>268</v>
      </c>
      <c r="E26" t="s">
        <v>251</v>
      </c>
      <c r="F26" t="s">
        <v>251</v>
      </c>
      <c r="G26" t="s">
        <v>251</v>
      </c>
      <c r="H26" t="s">
        <v>251</v>
      </c>
      <c r="J26" s="13"/>
      <c r="L26" s="13"/>
    </row>
    <row r="27" spans="1:12" x14ac:dyDescent="0.35">
      <c r="A27" t="s">
        <v>10</v>
      </c>
      <c r="B27" s="26" t="s">
        <v>105</v>
      </c>
      <c r="C27" s="26" t="str">
        <f t="shared" si="0"/>
        <v>Operculina</v>
      </c>
      <c r="D27" s="31" t="s">
        <v>116</v>
      </c>
      <c r="E27" t="s">
        <v>251</v>
      </c>
      <c r="G27" t="s">
        <v>251</v>
      </c>
      <c r="H27" t="s">
        <v>251</v>
      </c>
      <c r="J27" s="13"/>
      <c r="L27" s="13"/>
    </row>
    <row r="28" spans="1:12" x14ac:dyDescent="0.35">
      <c r="A28" t="s">
        <v>10</v>
      </c>
      <c r="B28" s="26" t="s">
        <v>105</v>
      </c>
      <c r="C28" s="26" t="str">
        <f t="shared" si="0"/>
        <v>Operculina</v>
      </c>
      <c r="D28" s="31" t="s">
        <v>118</v>
      </c>
      <c r="E28" t="s">
        <v>251</v>
      </c>
      <c r="G28" t="s">
        <v>251</v>
      </c>
      <c r="H28" t="s">
        <v>251</v>
      </c>
      <c r="J28" s="13"/>
      <c r="L28" s="13"/>
    </row>
    <row r="29" spans="1:12" x14ac:dyDescent="0.35">
      <c r="A29" t="s">
        <v>10</v>
      </c>
      <c r="B29" s="26" t="s">
        <v>105</v>
      </c>
      <c r="C29" s="26" t="str">
        <f t="shared" si="0"/>
        <v>Operculinella</v>
      </c>
      <c r="D29" s="31" t="s">
        <v>120</v>
      </c>
      <c r="E29" t="s">
        <v>251</v>
      </c>
      <c r="G29" t="s">
        <v>251</v>
      </c>
      <c r="J29" s="13"/>
      <c r="L29" s="13"/>
    </row>
    <row r="30" spans="1:12" x14ac:dyDescent="0.35">
      <c r="A30" t="s">
        <v>10</v>
      </c>
      <c r="B30" s="26" t="s">
        <v>105</v>
      </c>
      <c r="C30" s="26" t="str">
        <f t="shared" si="0"/>
        <v>Planoperculina</v>
      </c>
      <c r="D30" s="29" t="s">
        <v>249</v>
      </c>
      <c r="F30" t="s">
        <v>251</v>
      </c>
      <c r="J30" s="13"/>
      <c r="L30" s="13"/>
    </row>
    <row r="31" spans="1:12" x14ac:dyDescent="0.35">
      <c r="A31" t="s">
        <v>25</v>
      </c>
      <c r="B31" s="26" t="s">
        <v>127</v>
      </c>
      <c r="C31" s="26" t="str">
        <f t="shared" si="0"/>
        <v>Dendritina</v>
      </c>
      <c r="D31" s="29" t="s">
        <v>270</v>
      </c>
      <c r="E31" t="s">
        <v>251</v>
      </c>
      <c r="G31" t="s">
        <v>251</v>
      </c>
      <c r="J31" s="13"/>
    </row>
    <row r="32" spans="1:12" x14ac:dyDescent="0.35">
      <c r="A32" t="s">
        <v>25</v>
      </c>
      <c r="B32" s="26" t="s">
        <v>127</v>
      </c>
      <c r="C32" s="26" t="str">
        <f t="shared" si="0"/>
        <v>Dendritina</v>
      </c>
      <c r="D32" s="29" t="s">
        <v>240</v>
      </c>
      <c r="F32" t="s">
        <v>251</v>
      </c>
      <c r="G32" t="s">
        <v>251</v>
      </c>
      <c r="J32" s="13"/>
    </row>
    <row r="33" spans="1:10" x14ac:dyDescent="0.35">
      <c r="A33" t="s">
        <v>25</v>
      </c>
      <c r="B33" s="26" t="s">
        <v>127</v>
      </c>
      <c r="C33" s="26" t="str">
        <f t="shared" si="0"/>
        <v>Laevipeneroplis</v>
      </c>
      <c r="D33" s="29" t="s">
        <v>242</v>
      </c>
      <c r="F33" t="s">
        <v>251</v>
      </c>
      <c r="J33" s="13"/>
    </row>
    <row r="34" spans="1:10" x14ac:dyDescent="0.35">
      <c r="A34" t="s">
        <v>25</v>
      </c>
      <c r="B34" s="26" t="s">
        <v>127</v>
      </c>
      <c r="C34" s="26" t="str">
        <f t="shared" si="0"/>
        <v>Laevipeneroplis</v>
      </c>
      <c r="D34" s="29" t="s">
        <v>243</v>
      </c>
      <c r="F34" t="s">
        <v>251</v>
      </c>
      <c r="J34" s="13"/>
    </row>
    <row r="35" spans="1:10" x14ac:dyDescent="0.35">
      <c r="A35" t="s">
        <v>25</v>
      </c>
      <c r="B35" s="26" t="s">
        <v>127</v>
      </c>
      <c r="C35" s="26" t="str">
        <f t="shared" si="0"/>
        <v>Monalysidium</v>
      </c>
      <c r="D35" s="29" t="s">
        <v>265</v>
      </c>
      <c r="F35" t="s">
        <v>251</v>
      </c>
      <c r="J35" s="13"/>
    </row>
    <row r="36" spans="1:10" x14ac:dyDescent="0.35">
      <c r="A36" t="s">
        <v>25</v>
      </c>
      <c r="B36" s="26" t="s">
        <v>127</v>
      </c>
      <c r="C36" s="34" t="str">
        <f t="shared" si="0"/>
        <v>Monalysidium</v>
      </c>
      <c r="D36" s="30" t="s">
        <v>244</v>
      </c>
      <c r="F36" t="s">
        <v>251</v>
      </c>
      <c r="J36" s="13"/>
    </row>
    <row r="37" spans="1:10" x14ac:dyDescent="0.35">
      <c r="A37" t="s">
        <v>25</v>
      </c>
      <c r="B37" s="26" t="s">
        <v>127</v>
      </c>
      <c r="C37" s="34" t="str">
        <f t="shared" si="0"/>
        <v>Peneroplis</v>
      </c>
      <c r="D37" s="30" t="s">
        <v>246</v>
      </c>
      <c r="F37" t="s">
        <v>251</v>
      </c>
      <c r="G37" t="s">
        <v>251</v>
      </c>
      <c r="H37" t="s">
        <v>251</v>
      </c>
      <c r="J37" s="13"/>
    </row>
    <row r="38" spans="1:10" x14ac:dyDescent="0.35">
      <c r="A38" t="s">
        <v>25</v>
      </c>
      <c r="B38" s="26" t="s">
        <v>127</v>
      </c>
      <c r="C38" s="34" t="str">
        <f t="shared" si="0"/>
        <v>Peneroplis</v>
      </c>
      <c r="D38" s="30" t="s">
        <v>247</v>
      </c>
      <c r="E38" t="s">
        <v>251</v>
      </c>
      <c r="F38" t="s">
        <v>251</v>
      </c>
      <c r="G38" t="s">
        <v>251</v>
      </c>
      <c r="H38" t="s">
        <v>251</v>
      </c>
      <c r="J38" s="13"/>
    </row>
    <row r="39" spans="1:10" x14ac:dyDescent="0.35">
      <c r="A39" t="s">
        <v>25</v>
      </c>
      <c r="B39" s="26" t="s">
        <v>127</v>
      </c>
      <c r="C39" s="26" t="str">
        <f t="shared" si="0"/>
        <v>Peneroplis</v>
      </c>
      <c r="D39" s="29" t="s">
        <v>248</v>
      </c>
      <c r="F39" t="s">
        <v>251</v>
      </c>
      <c r="G39" t="s">
        <v>251</v>
      </c>
      <c r="H39" t="s">
        <v>251</v>
      </c>
      <c r="J39" s="13"/>
    </row>
    <row r="40" spans="1:10" x14ac:dyDescent="0.35">
      <c r="A40" t="s">
        <v>25</v>
      </c>
      <c r="B40" s="26" t="s">
        <v>127</v>
      </c>
      <c r="C40" s="34" t="str">
        <f t="shared" si="0"/>
        <v>Peneroplis</v>
      </c>
      <c r="D40" s="30" t="s">
        <v>262</v>
      </c>
      <c r="E40" t="s">
        <v>251</v>
      </c>
      <c r="G40" t="s">
        <v>251</v>
      </c>
      <c r="H40" t="s">
        <v>251</v>
      </c>
    </row>
    <row r="41" spans="1:10" x14ac:dyDescent="0.35">
      <c r="A41" t="s">
        <v>25</v>
      </c>
      <c r="B41" s="26" t="s">
        <v>162</v>
      </c>
      <c r="C41" s="26" t="str">
        <f t="shared" si="0"/>
        <v>Amphisorus</v>
      </c>
      <c r="D41" s="29" t="s">
        <v>230</v>
      </c>
      <c r="F41" t="s">
        <v>251</v>
      </c>
      <c r="G41" t="s">
        <v>251</v>
      </c>
    </row>
    <row r="42" spans="1:10" x14ac:dyDescent="0.35">
      <c r="A42" t="s">
        <v>25</v>
      </c>
      <c r="B42" s="26" t="s">
        <v>162</v>
      </c>
      <c r="C42" s="26" t="str">
        <f t="shared" si="0"/>
        <v>Amphisorus</v>
      </c>
      <c r="D42" s="31" t="s">
        <v>160</v>
      </c>
      <c r="E42" t="s">
        <v>251</v>
      </c>
      <c r="G42" t="s">
        <v>251</v>
      </c>
    </row>
    <row r="43" spans="1:10" x14ac:dyDescent="0.35">
      <c r="A43" t="s">
        <v>25</v>
      </c>
      <c r="B43" s="26" t="s">
        <v>162</v>
      </c>
      <c r="C43" s="26" t="str">
        <f t="shared" si="0"/>
        <v>Marginopora</v>
      </c>
      <c r="D43" s="29" t="s">
        <v>163</v>
      </c>
      <c r="E43" t="s">
        <v>251</v>
      </c>
      <c r="F43" t="s">
        <v>251</v>
      </c>
      <c r="G43" t="s">
        <v>251</v>
      </c>
    </row>
    <row r="44" spans="1:10" x14ac:dyDescent="0.35">
      <c r="A44" t="s">
        <v>25</v>
      </c>
      <c r="B44" s="26" t="s">
        <v>162</v>
      </c>
      <c r="C44" s="26" t="str">
        <f t="shared" si="0"/>
        <v>Parasorites</v>
      </c>
      <c r="D44" s="29" t="s">
        <v>245</v>
      </c>
      <c r="F44" t="s">
        <v>251</v>
      </c>
      <c r="G44" t="s">
        <v>251</v>
      </c>
      <c r="H44" t="s">
        <v>251</v>
      </c>
    </row>
    <row r="45" spans="1:10" x14ac:dyDescent="0.35">
      <c r="A45" t="s">
        <v>25</v>
      </c>
      <c r="B45" s="26" t="s">
        <v>162</v>
      </c>
      <c r="C45" s="26" t="str">
        <f t="shared" si="0"/>
        <v>Parasorites</v>
      </c>
      <c r="D45" s="31" t="s">
        <v>165</v>
      </c>
      <c r="E45" t="s">
        <v>251</v>
      </c>
      <c r="G45" t="s">
        <v>251</v>
      </c>
      <c r="H45" t="s">
        <v>251</v>
      </c>
    </row>
    <row r="46" spans="1:10" x14ac:dyDescent="0.35">
      <c r="A46" t="s">
        <v>25</v>
      </c>
      <c r="B46" s="27" t="s">
        <v>162</v>
      </c>
      <c r="C46" s="27" t="str">
        <f t="shared" si="0"/>
        <v>Sorites</v>
      </c>
      <c r="D46" s="35" t="s">
        <v>269</v>
      </c>
      <c r="F46" t="s">
        <v>251</v>
      </c>
      <c r="G46" t="s">
        <v>251</v>
      </c>
      <c r="H46" t="s">
        <v>251</v>
      </c>
    </row>
    <row r="47" spans="1:10" x14ac:dyDescent="0.35">
      <c r="A47" t="s">
        <v>25</v>
      </c>
      <c r="B47" s="27" t="s">
        <v>162</v>
      </c>
      <c r="C47" s="34" t="str">
        <f t="shared" si="0"/>
        <v>Sorites</v>
      </c>
      <c r="D47" s="32" t="s">
        <v>250</v>
      </c>
      <c r="F47" t="s">
        <v>251</v>
      </c>
      <c r="G47" t="s">
        <v>251</v>
      </c>
      <c r="H47" t="s">
        <v>251</v>
      </c>
    </row>
    <row r="48" spans="1:10" x14ac:dyDescent="0.35">
      <c r="A48" t="s">
        <v>25</v>
      </c>
      <c r="B48" s="26" t="s">
        <v>162</v>
      </c>
      <c r="C48" s="34" t="str">
        <f t="shared" si="0"/>
        <v>Sorites</v>
      </c>
      <c r="D48" s="32" t="s">
        <v>261</v>
      </c>
      <c r="E48" t="s">
        <v>251</v>
      </c>
      <c r="G48" t="s">
        <v>251</v>
      </c>
      <c r="H48" t="s">
        <v>251</v>
      </c>
    </row>
    <row r="49" spans="3:3" x14ac:dyDescent="0.35">
      <c r="C49" t="e">
        <f t="shared" si="0"/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F3DF-0418-4CE6-9F56-726CF6962E2F}">
  <dimension ref="A1:E7"/>
  <sheetViews>
    <sheetView workbookViewId="0">
      <selection activeCell="F12" sqref="F12"/>
    </sheetView>
  </sheetViews>
  <sheetFormatPr defaultRowHeight="14.5" x14ac:dyDescent="0.35"/>
  <cols>
    <col min="1" max="1" width="21.1796875" bestFit="1" customWidth="1"/>
    <col min="2" max="2" width="7.08984375" bestFit="1" customWidth="1"/>
    <col min="3" max="4" width="5.6328125" bestFit="1" customWidth="1"/>
    <col min="5" max="5" width="5.08984375" bestFit="1" customWidth="1"/>
  </cols>
  <sheetData>
    <row r="1" spans="1:5" x14ac:dyDescent="0.35">
      <c r="A1" t="s">
        <v>219</v>
      </c>
      <c r="B1" t="s">
        <v>223</v>
      </c>
      <c r="C1" t="s">
        <v>224</v>
      </c>
      <c r="D1" t="s">
        <v>225</v>
      </c>
      <c r="E1" t="s">
        <v>226</v>
      </c>
    </row>
    <row r="2" spans="1:5" x14ac:dyDescent="0.35">
      <c r="A2" t="s">
        <v>220</v>
      </c>
      <c r="B2">
        <v>38</v>
      </c>
      <c r="C2">
        <v>16</v>
      </c>
      <c r="D2">
        <v>6</v>
      </c>
      <c r="E2">
        <v>2</v>
      </c>
    </row>
    <row r="3" spans="1:5" x14ac:dyDescent="0.35">
      <c r="A3" t="s">
        <v>221</v>
      </c>
      <c r="B3">
        <v>38</v>
      </c>
      <c r="C3">
        <v>20</v>
      </c>
      <c r="D3">
        <v>6</v>
      </c>
      <c r="E3">
        <v>2</v>
      </c>
    </row>
    <row r="4" spans="1:5" x14ac:dyDescent="0.35">
      <c r="A4" t="s">
        <v>222</v>
      </c>
      <c r="B4">
        <v>16</v>
      </c>
      <c r="C4">
        <v>10</v>
      </c>
      <c r="D4">
        <v>5</v>
      </c>
      <c r="E4">
        <v>2</v>
      </c>
    </row>
    <row r="5" spans="1:5" x14ac:dyDescent="0.35">
      <c r="A5" t="s">
        <v>285</v>
      </c>
      <c r="B5">
        <v>0</v>
      </c>
      <c r="C5">
        <v>0</v>
      </c>
      <c r="D5">
        <v>0</v>
      </c>
      <c r="E5">
        <v>0</v>
      </c>
    </row>
    <row r="6" spans="1:5" x14ac:dyDescent="0.35">
      <c r="A6" t="s">
        <v>228</v>
      </c>
      <c r="B6">
        <v>16</v>
      </c>
      <c r="C6">
        <v>16</v>
      </c>
      <c r="D6">
        <v>6</v>
      </c>
      <c r="E6">
        <v>2</v>
      </c>
    </row>
    <row r="7" spans="1:5" x14ac:dyDescent="0.35">
      <c r="A7" t="s">
        <v>229</v>
      </c>
      <c r="B7">
        <v>0</v>
      </c>
      <c r="C7">
        <v>10</v>
      </c>
      <c r="D7">
        <v>5</v>
      </c>
      <c r="E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sheet</vt:lpstr>
      <vt:lpstr>Foram_overview</vt:lpstr>
      <vt:lpstr>LBF</vt:lpstr>
      <vt:lpstr>LBF_overview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 van Hoof</dc:creator>
  <cp:lastModifiedBy>Hoof, Venus van</cp:lastModifiedBy>
  <dcterms:created xsi:type="dcterms:W3CDTF">2025-08-04T12:56:07Z</dcterms:created>
  <dcterms:modified xsi:type="dcterms:W3CDTF">2025-12-18T17:27:52Z</dcterms:modified>
</cp:coreProperties>
</file>